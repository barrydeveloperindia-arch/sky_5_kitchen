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\Documents\Antigravity\Hotal_Sky5\Inventory\"/>
    </mc:Choice>
  </mc:AlternateContent>
  <xr:revisionPtr revIDLastSave="0" documentId="13_ncr:1_{6357523A-4CD4-4820-87B5-9BC356339D4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Inventory Stock" sheetId="2" r:id="rId2"/>
    <sheet name="Crockery &amp; Serveware" sheetId="3" r:id="rId3"/>
    <sheet name="Basement Store" sheetId="4" r:id="rId4"/>
    <sheet name="Consolidated" sheetId="5" r:id="rId5"/>
  </sheets>
  <definedNames>
    <definedName name="_xlnm._FilterDatabase" localSheetId="3" hidden="1">'Basement Store'!$A$6:$I$47</definedName>
    <definedName name="_xlnm._FilterDatabase" localSheetId="4" hidden="1">Consolidated!$A$5:$H$75</definedName>
    <definedName name="_xlnm._FilterDatabase" localSheetId="2" hidden="1">'Crockery &amp; Serveware'!$A$6:$I$26</definedName>
    <definedName name="_xlnm._FilterDatabase" localSheetId="1" hidden="1">'Inventory Stock'!$A$6:$I$24</definedName>
    <definedName name="_xlnm.Print_Titles" localSheetId="3">'Basement Store'!$6:$6</definedName>
    <definedName name="_xlnm.Print_Titles" localSheetId="4">Consolidated!$5:$5</definedName>
    <definedName name="_xlnm.Print_Titles" localSheetId="2">'Crockery &amp; Serveware'!$6:$6</definedName>
    <definedName name="_xlnm.Print_Titles" localSheetId="1">'Inventory Stock'!$6:$6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" i="5" l="1"/>
  <c r="F75" i="5"/>
  <c r="E75" i="5"/>
  <c r="G74" i="5"/>
  <c r="F74" i="5"/>
  <c r="E74" i="5"/>
  <c r="H74" i="5" s="1"/>
  <c r="G73" i="5"/>
  <c r="F73" i="5"/>
  <c r="E73" i="5"/>
  <c r="H73" i="5" s="1"/>
  <c r="G72" i="5"/>
  <c r="F72" i="5"/>
  <c r="E72" i="5"/>
  <c r="H72" i="5" s="1"/>
  <c r="G71" i="5"/>
  <c r="F71" i="5"/>
  <c r="E71" i="5"/>
  <c r="H71" i="5" s="1"/>
  <c r="G70" i="5"/>
  <c r="F70" i="5"/>
  <c r="E70" i="5"/>
  <c r="H70" i="5" s="1"/>
  <c r="G69" i="5"/>
  <c r="F69" i="5"/>
  <c r="E69" i="5"/>
  <c r="H69" i="5" s="1"/>
  <c r="G68" i="5"/>
  <c r="F68" i="5"/>
  <c r="E68" i="5"/>
  <c r="H68" i="5" s="1"/>
  <c r="G67" i="5"/>
  <c r="F67" i="5"/>
  <c r="E67" i="5"/>
  <c r="H67" i="5" s="1"/>
  <c r="G66" i="5"/>
  <c r="F66" i="5"/>
  <c r="E66" i="5"/>
  <c r="H66" i="5" s="1"/>
  <c r="G65" i="5"/>
  <c r="F65" i="5"/>
  <c r="E65" i="5"/>
  <c r="G64" i="5"/>
  <c r="F64" i="5"/>
  <c r="E64" i="5"/>
  <c r="H64" i="5" s="1"/>
  <c r="G63" i="5"/>
  <c r="F63" i="5"/>
  <c r="E63" i="5"/>
  <c r="H63" i="5" s="1"/>
  <c r="G62" i="5"/>
  <c r="F62" i="5"/>
  <c r="E62" i="5"/>
  <c r="H62" i="5" s="1"/>
  <c r="G61" i="5"/>
  <c r="F61" i="5"/>
  <c r="E61" i="5"/>
  <c r="H61" i="5" s="1"/>
  <c r="G60" i="5"/>
  <c r="F60" i="5"/>
  <c r="E60" i="5"/>
  <c r="H60" i="5" s="1"/>
  <c r="G59" i="5"/>
  <c r="F59" i="5"/>
  <c r="E59" i="5"/>
  <c r="H59" i="5" s="1"/>
  <c r="G58" i="5"/>
  <c r="F58" i="5"/>
  <c r="E58" i="5"/>
  <c r="G57" i="5"/>
  <c r="F57" i="5"/>
  <c r="E57" i="5"/>
  <c r="H57" i="5" s="1"/>
  <c r="G56" i="5"/>
  <c r="F56" i="5"/>
  <c r="E56" i="5"/>
  <c r="H56" i="5" s="1"/>
  <c r="G55" i="5"/>
  <c r="F55" i="5"/>
  <c r="E55" i="5"/>
  <c r="H55" i="5" s="1"/>
  <c r="G54" i="5"/>
  <c r="F54" i="5"/>
  <c r="E54" i="5"/>
  <c r="G53" i="5"/>
  <c r="F53" i="5"/>
  <c r="E53" i="5"/>
  <c r="G52" i="5"/>
  <c r="F52" i="5"/>
  <c r="E52" i="5"/>
  <c r="H52" i="5" s="1"/>
  <c r="G51" i="5"/>
  <c r="F51" i="5"/>
  <c r="E51" i="5"/>
  <c r="H51" i="5" s="1"/>
  <c r="G50" i="5"/>
  <c r="F50" i="5"/>
  <c r="E50" i="5"/>
  <c r="H50" i="5" s="1"/>
  <c r="G49" i="5"/>
  <c r="F49" i="5"/>
  <c r="E49" i="5"/>
  <c r="H49" i="5" s="1"/>
  <c r="G48" i="5"/>
  <c r="F48" i="5"/>
  <c r="E48" i="5"/>
  <c r="H48" i="5" s="1"/>
  <c r="G47" i="5"/>
  <c r="F47" i="5"/>
  <c r="E47" i="5"/>
  <c r="G46" i="5"/>
  <c r="F46" i="5"/>
  <c r="E46" i="5"/>
  <c r="H46" i="5" s="1"/>
  <c r="G45" i="5"/>
  <c r="F45" i="5"/>
  <c r="E45" i="5"/>
  <c r="H45" i="5" s="1"/>
  <c r="G44" i="5"/>
  <c r="F44" i="5"/>
  <c r="E44" i="5"/>
  <c r="H44" i="5" s="1"/>
  <c r="G43" i="5"/>
  <c r="F43" i="5"/>
  <c r="E43" i="5"/>
  <c r="G42" i="5"/>
  <c r="F42" i="5"/>
  <c r="E42" i="5"/>
  <c r="H42" i="5" s="1"/>
  <c r="G41" i="5"/>
  <c r="F41" i="5"/>
  <c r="E41" i="5"/>
  <c r="H41" i="5" s="1"/>
  <c r="G40" i="5"/>
  <c r="F40" i="5"/>
  <c r="E40" i="5"/>
  <c r="H40" i="5" s="1"/>
  <c r="G39" i="5"/>
  <c r="F39" i="5"/>
  <c r="E39" i="5"/>
  <c r="H39" i="5" s="1"/>
  <c r="G38" i="5"/>
  <c r="F38" i="5"/>
  <c r="E38" i="5"/>
  <c r="H38" i="5" s="1"/>
  <c r="G37" i="5"/>
  <c r="F37" i="5"/>
  <c r="E37" i="5"/>
  <c r="H37" i="5" s="1"/>
  <c r="G36" i="5"/>
  <c r="F36" i="5"/>
  <c r="E36" i="5"/>
  <c r="H36" i="5" s="1"/>
  <c r="G35" i="5"/>
  <c r="F35" i="5"/>
  <c r="E35" i="5"/>
  <c r="H35" i="5" s="1"/>
  <c r="G34" i="5"/>
  <c r="F34" i="5"/>
  <c r="E34" i="5"/>
  <c r="H34" i="5" s="1"/>
  <c r="G33" i="5"/>
  <c r="F33" i="5"/>
  <c r="E33" i="5"/>
  <c r="G32" i="5"/>
  <c r="F32" i="5"/>
  <c r="E32" i="5"/>
  <c r="H32" i="5" s="1"/>
  <c r="G31" i="5"/>
  <c r="F31" i="5"/>
  <c r="E31" i="5"/>
  <c r="H31" i="5" s="1"/>
  <c r="G30" i="5"/>
  <c r="F30" i="5"/>
  <c r="E30" i="5"/>
  <c r="H30" i="5" s="1"/>
  <c r="G29" i="5"/>
  <c r="F29" i="5"/>
  <c r="E29" i="5"/>
  <c r="H29" i="5" s="1"/>
  <c r="G28" i="5"/>
  <c r="F28" i="5"/>
  <c r="E28" i="5"/>
  <c r="H28" i="5" s="1"/>
  <c r="G27" i="5"/>
  <c r="F27" i="5"/>
  <c r="E27" i="5"/>
  <c r="H27" i="5" s="1"/>
  <c r="G26" i="5"/>
  <c r="F26" i="5"/>
  <c r="E26" i="5"/>
  <c r="G25" i="5"/>
  <c r="F25" i="5"/>
  <c r="E25" i="5"/>
  <c r="H25" i="5" s="1"/>
  <c r="G24" i="5"/>
  <c r="F24" i="5"/>
  <c r="E24" i="5"/>
  <c r="G23" i="5"/>
  <c r="F23" i="5"/>
  <c r="E23" i="5"/>
  <c r="H23" i="5" s="1"/>
  <c r="G22" i="5"/>
  <c r="F22" i="5"/>
  <c r="E22" i="5"/>
  <c r="G21" i="5"/>
  <c r="F21" i="5"/>
  <c r="E21" i="5"/>
  <c r="G20" i="5"/>
  <c r="F20" i="5"/>
  <c r="E20" i="5"/>
  <c r="H20" i="5" s="1"/>
  <c r="G19" i="5"/>
  <c r="F19" i="5"/>
  <c r="E19" i="5"/>
  <c r="H19" i="5" s="1"/>
  <c r="G18" i="5"/>
  <c r="F18" i="5"/>
  <c r="E18" i="5"/>
  <c r="H18" i="5" s="1"/>
  <c r="G17" i="5"/>
  <c r="F17" i="5"/>
  <c r="E17" i="5"/>
  <c r="H17" i="5" s="1"/>
  <c r="G16" i="5"/>
  <c r="F16" i="5"/>
  <c r="E16" i="5"/>
  <c r="H16" i="5" s="1"/>
  <c r="G15" i="5"/>
  <c r="F15" i="5"/>
  <c r="E15" i="5"/>
  <c r="G14" i="5"/>
  <c r="F14" i="5"/>
  <c r="E14" i="5"/>
  <c r="H14" i="5" s="1"/>
  <c r="G13" i="5"/>
  <c r="F13" i="5"/>
  <c r="E13" i="5"/>
  <c r="H13" i="5" s="1"/>
  <c r="G12" i="5"/>
  <c r="F12" i="5"/>
  <c r="E12" i="5"/>
  <c r="H12" i="5" s="1"/>
  <c r="G11" i="5"/>
  <c r="F11" i="5"/>
  <c r="E11" i="5"/>
  <c r="G10" i="5"/>
  <c r="F10" i="5"/>
  <c r="E10" i="5"/>
  <c r="H10" i="5" s="1"/>
  <c r="G9" i="5"/>
  <c r="F9" i="5"/>
  <c r="E9" i="5"/>
  <c r="H9" i="5" s="1"/>
  <c r="G8" i="5"/>
  <c r="F8" i="5"/>
  <c r="E8" i="5"/>
  <c r="H8" i="5" s="1"/>
  <c r="G7" i="5"/>
  <c r="F7" i="5"/>
  <c r="E7" i="5"/>
  <c r="H7" i="5" s="1"/>
  <c r="G6" i="5"/>
  <c r="F6" i="5"/>
  <c r="E6" i="5"/>
  <c r="D48" i="4"/>
  <c r="G47" i="4"/>
  <c r="G46" i="4"/>
  <c r="G45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D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D7" i="1" s="1"/>
  <c r="D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E9" i="1"/>
  <c r="C8" i="1"/>
  <c r="C7" i="1"/>
  <c r="C6" i="1"/>
  <c r="H15" i="5" l="1"/>
  <c r="H47" i="5"/>
  <c r="H26" i="5"/>
  <c r="H58" i="5"/>
  <c r="D49" i="4"/>
  <c r="H6" i="5"/>
  <c r="D8" i="1"/>
  <c r="C9" i="1"/>
  <c r="H21" i="5"/>
  <c r="H53" i="5"/>
  <c r="H24" i="5"/>
  <c r="D6" i="1"/>
  <c r="H11" i="5"/>
  <c r="H43" i="5"/>
  <c r="H75" i="5"/>
  <c r="H22" i="5"/>
  <c r="H54" i="5"/>
  <c r="D28" i="3"/>
  <c r="H33" i="5"/>
  <c r="H65" i="5"/>
  <c r="D9" i="1"/>
  <c r="D26" i="2"/>
</calcChain>
</file>

<file path=xl/sharedStrings.xml><?xml version="1.0" encoding="utf-8"?>
<sst xmlns="http://schemas.openxmlformats.org/spreadsheetml/2006/main" count="625" uniqueCount="207">
  <si>
    <t>Hotel Sky 5 - Inventory Summary</t>
  </si>
  <si>
    <t>Prepared from handwritten store registers dated 23-09-2026 and 29-09-2026</t>
  </si>
  <si>
    <t>Location / Register</t>
  </si>
  <si>
    <t>Count Date</t>
  </si>
  <si>
    <t>Line Items</t>
  </si>
  <si>
    <t>To Reorder</t>
  </si>
  <si>
    <t>To Confirm</t>
  </si>
  <si>
    <t>Note</t>
  </si>
  <si>
    <t>Inventory Stock</t>
  </si>
  <si>
    <t>23-09-2026</t>
  </si>
  <si>
    <t>Floor / pantry consumables</t>
  </si>
  <si>
    <t>Crockery &amp; Serveware</t>
  </si>
  <si>
    <t>Crockery, cutlery, serveware</t>
  </si>
  <si>
    <t>Basement Store</t>
  </si>
  <si>
    <t>29-09-2026</t>
  </si>
  <si>
    <t>Main store (bulk)</t>
  </si>
  <si>
    <t>TOTAL</t>
  </si>
  <si>
    <t>ACTION REQUIRED</t>
  </si>
  <si>
    <t>•  Water Bottle (250 ml): 83 cases marked EXPIRED in Basement Store - keep aside, do not serve, arrange return/disposal.</t>
  </si>
  <si>
    <t>•  Bharat Gas Cylinder: 2 empty, 1 full - book refill.</t>
  </si>
  <si>
    <t>•  Low single-piece stock: Black HIT 1, Mop Refill Pad 1, Duster Towel 1, Phool Broom 1, Wiper (Mini) 1, Kettle 5 Ltr 1.</t>
  </si>
  <si>
    <t>•  Set "Min. Level" (yellow column) on each sheet once with Mam/manager - Status will then show REORDER automatically.</t>
  </si>
  <si>
    <t>PLEASE CONFIRM (handwriting unclear)</t>
  </si>
  <si>
    <t>•  Inventory Stock: Naphthalene Balls (Phenyl Goli) - Read as phenyl goli = naphthalene balls</t>
  </si>
  <si>
    <t>•  Inventory Stock: Tea Bag - Figure read as 96 (could be 36) - please confirm</t>
  </si>
  <si>
    <t>•  Crockery &amp; Serveware: Plastic Plate - Figure read as 10</t>
  </si>
  <si>
    <t>•  Crockery &amp; Serveware: Ice Pack - Read as "Ice Pack" - please confirm item</t>
  </si>
  <si>
    <t>•  Basement Store: Garbage Bag (Small) - Figure overwritten in register (14 or 4) - please confirm</t>
  </si>
  <si>
    <t>•  Basement Store: Wiper (Mini) - Qty column in register sits slightly above the item lines; matched row by row</t>
  </si>
  <si>
    <t>Hotel Sky 5 - Inventory Stock</t>
  </si>
  <si>
    <t>Physical count date: 23-09-2026   |   Source: handwritten store register   |   Location: Inventory Stock</t>
  </si>
  <si>
    <t>Legend: fill yellow "Min. Level" cells to get REORDER alerts. Red rows = figure/item to be confirmed.</t>
  </si>
  <si>
    <t>Sr. No.</t>
  </si>
  <si>
    <t>Item Name</t>
  </si>
  <si>
    <t>Category</t>
  </si>
  <si>
    <t>Qty</t>
  </si>
  <si>
    <t>Unit</t>
  </si>
  <si>
    <t>Min. Level</t>
  </si>
  <si>
    <t>Status</t>
  </si>
  <si>
    <t>As Written in Register</t>
  </si>
  <si>
    <t>Remarks</t>
  </si>
  <si>
    <t>Napkin</t>
  </si>
  <si>
    <t>Guest Amenities</t>
  </si>
  <si>
    <t>Pkt</t>
  </si>
  <si>
    <t>Nepkin</t>
  </si>
  <si>
    <t>Toilet Roll</t>
  </si>
  <si>
    <t>Pcs</t>
  </si>
  <si>
    <t>Toilete Roll</t>
  </si>
  <si>
    <t>Hotel Soap</t>
  </si>
  <si>
    <t>Naphthalene Balls (Phenyl Goli)</t>
  </si>
  <si>
    <t>Housekeeping Supplies</t>
  </si>
  <si>
    <t>Phyneule Goli</t>
  </si>
  <si>
    <t>Read as phenyl goli = naphthalene balls</t>
  </si>
  <si>
    <t>Garbage Bag (Small)</t>
  </si>
  <si>
    <t>Small Garbage Beg</t>
  </si>
  <si>
    <t>Sugar Pouch</t>
  </si>
  <si>
    <t>Pantry / Tea-Coffee</t>
  </si>
  <si>
    <t>Sugar pouch</t>
  </si>
  <si>
    <t>Milk Pouch</t>
  </si>
  <si>
    <t>Milk pouch</t>
  </si>
  <si>
    <t>Tea Bag</t>
  </si>
  <si>
    <t>Tea Beg</t>
  </si>
  <si>
    <t>Figure read as 96 (could be 36) - please confirm</t>
  </si>
  <si>
    <t>Coffee Pouch</t>
  </si>
  <si>
    <t>Coffee pouch</t>
  </si>
  <si>
    <t>Green Tea</t>
  </si>
  <si>
    <t>Mineral Water (1 Ltr)</t>
  </si>
  <si>
    <t>Beverages</t>
  </si>
  <si>
    <t>Minral water 1Ltr</t>
  </si>
  <si>
    <t>Tile Cleaner</t>
  </si>
  <si>
    <t>Cleaning Chemicals</t>
  </si>
  <si>
    <t>Ltr</t>
  </si>
  <si>
    <t>Phenyl</t>
  </si>
  <si>
    <t>Phynail</t>
  </si>
  <si>
    <t>Harpic</t>
  </si>
  <si>
    <t>Colin</t>
  </si>
  <si>
    <t>Coline</t>
  </si>
  <si>
    <t>Basement counts Colin in bottles</t>
  </si>
  <si>
    <t>Shower Gel</t>
  </si>
  <si>
    <t>Hand Wash</t>
  </si>
  <si>
    <t>Handwash</t>
  </si>
  <si>
    <t>Garbage Bag (Big)</t>
  </si>
  <si>
    <t>Big Garbage Beg</t>
  </si>
  <si>
    <t>Total line items</t>
  </si>
  <si>
    <t>Items to reorder</t>
  </si>
  <si>
    <t>Counted by: ____________________</t>
  </si>
  <si>
    <t>Verified by: ____________________</t>
  </si>
  <si>
    <t>Hotel Sky 5 - Crockery, Cutlery &amp; Serveware</t>
  </si>
  <si>
    <t>Physical count date: 23-09-2026   |   Source: handwritten store register   |   Location: Crockery &amp; Serveware</t>
  </si>
  <si>
    <t>Thali</t>
  </si>
  <si>
    <t>Crockery</t>
  </si>
  <si>
    <t>Thali (New)</t>
  </si>
  <si>
    <t>New Thali</t>
  </si>
  <si>
    <t>Tray</t>
  </si>
  <si>
    <t>Serveware</t>
  </si>
  <si>
    <t>Try</t>
  </si>
  <si>
    <t>Electric Kettle (5 Ltr)</t>
  </si>
  <si>
    <t>Cattle - 5Ltr</t>
  </si>
  <si>
    <t>Electric Kettle (1 Ltr)</t>
  </si>
  <si>
    <t>Cattle 1Ltr</t>
  </si>
  <si>
    <t>Plate</t>
  </si>
  <si>
    <t>Plats</t>
  </si>
  <si>
    <t>Bowl</t>
  </si>
  <si>
    <t>Spoon</t>
  </si>
  <si>
    <t>Cutlery</t>
  </si>
  <si>
    <t>Fork</t>
  </si>
  <si>
    <t>Fock</t>
  </si>
  <si>
    <t>Butter Knife</t>
  </si>
  <si>
    <t>B.Knife</t>
  </si>
  <si>
    <t>Soup Bowl</t>
  </si>
  <si>
    <t>Quarter Plate</t>
  </si>
  <si>
    <t>Q. plats 15pc+2=17</t>
  </si>
  <si>
    <t>Register: 15 + 2 = 17</t>
  </si>
  <si>
    <t>Saucer</t>
  </si>
  <si>
    <t>Soucer</t>
  </si>
  <si>
    <t>Steel Bowl</t>
  </si>
  <si>
    <t>Water Glass</t>
  </si>
  <si>
    <t>water Glass</t>
  </si>
  <si>
    <t>Cup</t>
  </si>
  <si>
    <t>Plastic Plate</t>
  </si>
  <si>
    <t>Plastic plats</t>
  </si>
  <si>
    <t>Figure read as 10</t>
  </si>
  <si>
    <t>Water Jug</t>
  </si>
  <si>
    <t>water Jug</t>
  </si>
  <si>
    <t>Ice Bowl</t>
  </si>
  <si>
    <t>ice Bowl</t>
  </si>
  <si>
    <t>Ice Pack</t>
  </si>
  <si>
    <t>ice paked</t>
  </si>
  <si>
    <t>Read as "Ice Pack" - please confirm item</t>
  </si>
  <si>
    <t>Hotel Sky 5 - Basement Store</t>
  </si>
  <si>
    <t>Physical count date: 29-09-2026   |   Source: handwritten store register   |   Location: Basement Store</t>
  </si>
  <si>
    <t>Black HIT (Insect Spray)</t>
  </si>
  <si>
    <t>Pest Control</t>
  </si>
  <si>
    <t>Black Hit</t>
  </si>
  <si>
    <t>Bottle</t>
  </si>
  <si>
    <t>Toilet Rolls</t>
  </si>
  <si>
    <t>Roll</t>
  </si>
  <si>
    <t>Garbage Bags (Small)</t>
  </si>
  <si>
    <t>Figure overwritten in register (14 or 4) - please confirm</t>
  </si>
  <si>
    <t>Hand wash</t>
  </si>
  <si>
    <t>Sower Gel</t>
  </si>
  <si>
    <t>Tiles Cleaner</t>
  </si>
  <si>
    <t>Dish Wash</t>
  </si>
  <si>
    <t>Dish wash</t>
  </si>
  <si>
    <t>Phenyl (Green)</t>
  </si>
  <si>
    <t>Phenyl Green</t>
  </si>
  <si>
    <t>All Purpose Cleaner</t>
  </si>
  <si>
    <t>All purpose Cleaner</t>
  </si>
  <si>
    <t>Mop Refill Pad</t>
  </si>
  <si>
    <t>Naphthalene Balls - 13 Pack</t>
  </si>
  <si>
    <t>Duster</t>
  </si>
  <si>
    <t>Duster Towel</t>
  </si>
  <si>
    <t>Pocha (Floor Cloth)</t>
  </si>
  <si>
    <t>Pocha</t>
  </si>
  <si>
    <t>Scotch-Brite (Big)</t>
  </si>
  <si>
    <t>Scotch Brite Big</t>
  </si>
  <si>
    <t>Scotch-Brite (Small)</t>
  </si>
  <si>
    <t>Scotch Brite Small</t>
  </si>
  <si>
    <t>Steel Scrubber</t>
  </si>
  <si>
    <t>Garbage Big</t>
  </si>
  <si>
    <t>High Power Toilet Cleaner</t>
  </si>
  <si>
    <t>Floor Wiper</t>
  </si>
  <si>
    <t>Stick Broom (Jhadu)</t>
  </si>
  <si>
    <t>Stick Broom</t>
  </si>
  <si>
    <t>Phool Broom (Jhadu)</t>
  </si>
  <si>
    <t>Phool Broom</t>
  </si>
  <si>
    <t>Wiper (Mini)</t>
  </si>
  <si>
    <t>Qty column in register sits slightly above the item lines; matched row by row</t>
  </si>
  <si>
    <t>Dust Pan</t>
  </si>
  <si>
    <t>Toilet Brush</t>
  </si>
  <si>
    <t>Tomato Sauce (Pouch)</t>
  </si>
  <si>
    <t>Green Tea (Lipton)</t>
  </si>
  <si>
    <t>Bags</t>
  </si>
  <si>
    <t>Lipton Green Tea</t>
  </si>
  <si>
    <t>Kg</t>
  </si>
  <si>
    <t>Suger Pouch</t>
  </si>
  <si>
    <t>Milk Powder Pouch</t>
  </si>
  <si>
    <t>Mik Powder Pouch</t>
  </si>
  <si>
    <t>Thums Up (250 ml)</t>
  </si>
  <si>
    <t>Thums Up 250ML</t>
  </si>
  <si>
    <t>Coke (250 ml)</t>
  </si>
  <si>
    <t>Coke 250ML</t>
  </si>
  <si>
    <t>Limca (250 ml)</t>
  </si>
  <si>
    <t>Limca 250ML</t>
  </si>
  <si>
    <t>A4 Paper Ream</t>
  </si>
  <si>
    <t>Stationery</t>
  </si>
  <si>
    <t>Pack</t>
  </si>
  <si>
    <t>A4 Paper Rim</t>
  </si>
  <si>
    <t>Water Bottle (250 ml)</t>
  </si>
  <si>
    <t>Cases</t>
  </si>
  <si>
    <t>EXPIRED</t>
  </si>
  <si>
    <t>Water Botal 250ML</t>
  </si>
  <si>
    <t>EXPIRED as per register - do not serve; arrange return/disposal</t>
  </si>
  <si>
    <t>Campa Water Bottle (1 Ltr)</t>
  </si>
  <si>
    <t>Campa Water Botal 1Ltr</t>
  </si>
  <si>
    <t>Bharat Gas Cylinder (Full)</t>
  </si>
  <si>
    <t>Fuel / Gas</t>
  </si>
  <si>
    <t>Bharat Gas Cylinder Full</t>
  </si>
  <si>
    <t>Bharat Gas Cylinder (Empty)</t>
  </si>
  <si>
    <t>Row 41 (ditto) - 2 Pcs (Empty)</t>
  </si>
  <si>
    <t>Empty cylinders - book refill</t>
  </si>
  <si>
    <t>Hotel Sky 5 - Consolidated Stock (all locations)</t>
  </si>
  <si>
    <t>Same item + same unit added together. Items counted in different units (e.g. Colin Ltr vs Bottle) stay on separate rows. Figures are formulas linked to the location sheets.</t>
  </si>
  <si>
    <t>Inventory Stock (23-09)</t>
  </si>
  <si>
    <t>Crockery (23-09)</t>
  </si>
  <si>
    <t>Basement Store (29-09)</t>
  </si>
  <si>
    <t>Total 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</si>
</sst>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&quot;-&quot;"/>
  </numFmts>
  <fonts count="16" x14ac:knownFonts="1">
    <font>
      <sz val="11"/>
      <color theme="1"/>
      <name val="Calibri"/>
      <family val="2"/>
      <scheme val="minor"/>
    </font>
    <font>
      <b/>
      <sz val="15"/>
      <color rgb="FF0A192F"/>
      <name val="Arial"/>
    </font>
    <font>
      <sz val="10"/>
      <color rgb="FF555555"/>
      <name val="Arial"/>
    </font>
    <font>
      <i/>
      <sz val="9"/>
      <color rgb="FF7F7F7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FF"/>
      <name val="Arial"/>
    </font>
    <font>
      <b/>
      <sz val="11"/>
      <name val="Arial"/>
    </font>
    <font>
      <b/>
      <sz val="11"/>
      <color rgb="FFC00000"/>
      <name val="Arial"/>
    </font>
    <font>
      <sz val="10"/>
      <name val="Arial"/>
    </font>
    <font>
      <b/>
      <sz val="10"/>
      <color rgb="FFC00000"/>
      <name val="Arial"/>
    </font>
    <font>
      <sz val="10"/>
      <color rgb="FF008000"/>
      <name val="Arial"/>
    </font>
    <font>
      <b/>
      <sz val="10"/>
      <color rgb="FF000000"/>
      <name val="Arial"/>
    </font>
    <font>
      <b/>
      <sz val="11"/>
      <color rgb="FFFFFFFF"/>
      <name val="Arial"/>
    </font>
    <font>
      <b/>
      <sz val="12"/>
      <color rgb="FFC00000"/>
      <name val="Arial"/>
    </font>
    <font>
      <b/>
      <sz val="12"/>
      <color rgb="FF0A192F"/>
      <name val="Arial"/>
    </font>
  </fonts>
  <fills count="7">
    <fill>
      <patternFill patternType="none"/>
    </fill>
    <fill>
      <patternFill patternType="gray125"/>
    </fill>
    <fill>
      <patternFill patternType="solid">
        <fgColor rgb="FF0A192F"/>
      </patternFill>
    </fill>
    <fill>
      <patternFill patternType="solid">
        <fgColor rgb="FFFFF9DB"/>
      </patternFill>
    </fill>
    <fill>
      <patternFill patternType="solid">
        <fgColor rgb="FFF5F7FA"/>
      </patternFill>
    </fill>
    <fill>
      <patternFill patternType="solid">
        <fgColor rgb="FFFDECEA"/>
      </patternFill>
    </fill>
    <fill>
      <patternFill patternType="solid">
        <fgColor rgb="FFFFF4D6"/>
      </patternFill>
    </fill>
  </fills>
  <borders count="3">
    <border>
      <left/>
      <right/>
      <top/>
      <bottom/>
      <diagonal/>
    </border>
    <border>
      <left/>
      <right/>
      <top style="medium">
        <color rgb="FFD4AF37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1" xfId="0" applyBorder="1"/>
    <xf numFmtId="0" fontId="13" fillId="2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7" fillId="6" borderId="2" xfId="0" applyFont="1" applyFill="1" applyBorder="1"/>
    <xf numFmtId="0" fontId="0" fillId="6" borderId="2" xfId="0" applyFill="1" applyBorder="1"/>
    <xf numFmtId="0" fontId="7" fillId="6" borderId="2" xfId="0" applyFont="1" applyFill="1" applyBorder="1" applyAlignment="1">
      <alignment horizontal="center"/>
    </xf>
    <xf numFmtId="0" fontId="14" fillId="0" borderId="0" xfId="0" applyFont="1"/>
    <xf numFmtId="0" fontId="9" fillId="0" borderId="0" xfId="0" applyFont="1"/>
    <xf numFmtId="0" fontId="15" fillId="0" borderId="0" xfId="0" applyFont="1"/>
    <xf numFmtId="0" fontId="3" fillId="0" borderId="0" xfId="0" applyFont="1"/>
    <xf numFmtId="0" fontId="4" fillId="2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/>
    </xf>
    <xf numFmtId="0" fontId="6" fillId="5" borderId="2" xfId="0" applyFont="1" applyFill="1" applyBorder="1" applyAlignment="1">
      <alignment horizontal="center" vertical="center"/>
    </xf>
    <xf numFmtId="0" fontId="7" fillId="0" borderId="0" xfId="0" applyFont="1"/>
    <xf numFmtId="0" fontId="8" fillId="0" borderId="0" xfId="0" applyFont="1"/>
    <xf numFmtId="0" fontId="10" fillId="5" borderId="2" xfId="0" applyFont="1" applyFill="1" applyBorder="1" applyAlignment="1">
      <alignment horizontal="center" vertical="center"/>
    </xf>
    <xf numFmtId="164" fontId="11" fillId="0" borderId="2" xfId="0" applyNumberFormat="1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164" fontId="11" fillId="4" borderId="2" xfId="0" applyNumberFormat="1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2" fillId="0" borderId="0" xfId="0" applyFont="1"/>
    <xf numFmtId="0" fontId="0" fillId="0" borderId="0" xfId="0"/>
    <xf numFmtId="0" fontId="9" fillId="0" borderId="0" xfId="0" applyFont="1"/>
    <xf numFmtId="0" fontId="1" fillId="0" borderId="0" xfId="0" applyFont="1"/>
  </cellXfs>
  <cellStyles count="1">
    <cellStyle name="Normal" xfId="0" builtinId="0"/>
  </cellStyles>
  <dxfs count="6">
    <dxf>
      <font>
        <b/>
        <color rgb="FF1E7B34"/>
        <name val="Arial"/>
      </font>
    </dxf>
    <dxf>
      <font>
        <b/>
        <color rgb="FFC00000"/>
        <name val="Arial"/>
      </font>
    </dxf>
    <dxf>
      <font>
        <b/>
        <color rgb="FF1E7B34"/>
        <name val="Arial"/>
      </font>
    </dxf>
    <dxf>
      <font>
        <b/>
        <color rgb="FFC00000"/>
        <name val="Arial"/>
      </font>
    </dxf>
    <dxf>
      <font>
        <b/>
        <color rgb="FF1E7B34"/>
        <name val="Arial"/>
      </font>
    </dxf>
    <dxf>
      <font>
        <b/>
        <color rgb="FFC00000"/>
        <name val="Arial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3"/>
  <sheetViews>
    <sheetView tabSelected="1" workbookViewId="0">
      <selection sqref="A1:F1"/>
    </sheetView>
  </sheetViews>
  <sheetFormatPr defaultRowHeight="15" x14ac:dyDescent="0.25"/>
  <cols>
    <col min="1" max="1" width="30" customWidth="1"/>
    <col min="2" max="2" width="16" customWidth="1"/>
    <col min="3" max="4" width="14" customWidth="1"/>
    <col min="5" max="5" width="16" customWidth="1"/>
    <col min="6" max="6" width="40" customWidth="1"/>
  </cols>
  <sheetData>
    <row r="1" spans="1:6" ht="24" customHeight="1" x14ac:dyDescent="0.3">
      <c r="A1" s="37" t="s">
        <v>0</v>
      </c>
      <c r="B1" s="35"/>
      <c r="C1" s="35"/>
      <c r="D1" s="35"/>
      <c r="E1" s="35"/>
      <c r="F1" s="35"/>
    </row>
    <row r="2" spans="1:6" x14ac:dyDescent="0.25">
      <c r="A2" s="34" t="s">
        <v>1</v>
      </c>
      <c r="B2" s="35"/>
      <c r="C2" s="35"/>
      <c r="D2" s="35"/>
      <c r="E2" s="35"/>
      <c r="F2" s="35"/>
    </row>
    <row r="3" spans="1:6" x14ac:dyDescent="0.25">
      <c r="A3" s="1"/>
      <c r="B3" s="1"/>
      <c r="C3" s="1"/>
      <c r="D3" s="1"/>
      <c r="E3" s="1"/>
      <c r="F3" s="1"/>
    </row>
    <row r="5" spans="1:6" x14ac:dyDescent="0.2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</row>
    <row r="6" spans="1:6" x14ac:dyDescent="0.25">
      <c r="A6" s="3" t="s">
        <v>8</v>
      </c>
      <c r="B6" s="4" t="s">
        <v>9</v>
      </c>
      <c r="C6" s="5">
        <f>COUNTA('Inventory Stock'!B7:B24)</f>
        <v>18</v>
      </c>
      <c r="D6" s="5">
        <f>COUNTIF('Inventory Stock'!G7:G24,"REORDER")</f>
        <v>0</v>
      </c>
      <c r="E6" s="4">
        <v>2</v>
      </c>
      <c r="F6" s="3" t="s">
        <v>10</v>
      </c>
    </row>
    <row r="7" spans="1:6" x14ac:dyDescent="0.25">
      <c r="A7" s="3" t="s">
        <v>11</v>
      </c>
      <c r="B7" s="4" t="s">
        <v>9</v>
      </c>
      <c r="C7" s="5">
        <f>COUNTA('Crockery &amp; Serveware'!B7:B26)</f>
        <v>20</v>
      </c>
      <c r="D7" s="5">
        <f>COUNTIF('Crockery &amp; Serveware'!G7:G26,"REORDER")</f>
        <v>0</v>
      </c>
      <c r="E7" s="4">
        <v>2</v>
      </c>
      <c r="F7" s="3" t="s">
        <v>12</v>
      </c>
    </row>
    <row r="8" spans="1:6" x14ac:dyDescent="0.25">
      <c r="A8" s="3" t="s">
        <v>13</v>
      </c>
      <c r="B8" s="4" t="s">
        <v>14</v>
      </c>
      <c r="C8" s="5">
        <f>COUNTA('Basement Store'!B7:B47)</f>
        <v>41</v>
      </c>
      <c r="D8" s="5">
        <f>COUNTIF('Basement Store'!G7:G47,"REORDER")</f>
        <v>0</v>
      </c>
      <c r="E8" s="4">
        <v>4</v>
      </c>
      <c r="F8" s="3" t="s">
        <v>15</v>
      </c>
    </row>
    <row r="9" spans="1:6" x14ac:dyDescent="0.25">
      <c r="A9" s="6" t="s">
        <v>16</v>
      </c>
      <c r="B9" s="7"/>
      <c r="C9" s="8">
        <f>SUM(C6:C8)</f>
        <v>79</v>
      </c>
      <c r="D9" s="8">
        <f>SUM(D6:D8)</f>
        <v>0</v>
      </c>
      <c r="E9" s="8">
        <f>SUM(E6:E8)</f>
        <v>8</v>
      </c>
      <c r="F9" s="7"/>
    </row>
    <row r="11" spans="1:6" ht="15.75" x14ac:dyDescent="0.25">
      <c r="A11" s="9" t="s">
        <v>17</v>
      </c>
    </row>
    <row r="12" spans="1:6" x14ac:dyDescent="0.25">
      <c r="A12" s="36" t="s">
        <v>18</v>
      </c>
      <c r="B12" s="35"/>
      <c r="C12" s="35"/>
      <c r="D12" s="35"/>
      <c r="E12" s="35"/>
      <c r="F12" s="35"/>
    </row>
    <row r="13" spans="1:6" x14ac:dyDescent="0.25">
      <c r="A13" s="36" t="s">
        <v>19</v>
      </c>
      <c r="B13" s="35"/>
      <c r="C13" s="35"/>
      <c r="D13" s="35"/>
      <c r="E13" s="35"/>
      <c r="F13" s="35"/>
    </row>
    <row r="14" spans="1:6" x14ac:dyDescent="0.25">
      <c r="A14" s="36" t="s">
        <v>20</v>
      </c>
      <c r="B14" s="35"/>
      <c r="C14" s="35"/>
      <c r="D14" s="35"/>
      <c r="E14" s="35"/>
      <c r="F14" s="35"/>
    </row>
    <row r="15" spans="1:6" x14ac:dyDescent="0.25">
      <c r="A15" s="36" t="s">
        <v>21</v>
      </c>
      <c r="B15" s="35"/>
      <c r="C15" s="35"/>
      <c r="D15" s="35"/>
      <c r="E15" s="35"/>
      <c r="F15" s="35"/>
    </row>
    <row r="17" spans="1:6" ht="15.75" x14ac:dyDescent="0.25">
      <c r="A17" s="11" t="s">
        <v>22</v>
      </c>
    </row>
    <row r="18" spans="1:6" x14ac:dyDescent="0.25">
      <c r="A18" s="36" t="s">
        <v>23</v>
      </c>
      <c r="B18" s="35"/>
      <c r="C18" s="35"/>
      <c r="D18" s="35"/>
      <c r="E18" s="35"/>
      <c r="F18" s="35"/>
    </row>
    <row r="19" spans="1:6" x14ac:dyDescent="0.25">
      <c r="A19" s="36" t="s">
        <v>24</v>
      </c>
      <c r="B19" s="35"/>
      <c r="C19" s="35"/>
      <c r="D19" s="35"/>
      <c r="E19" s="35"/>
      <c r="F19" s="35"/>
    </row>
    <row r="20" spans="1:6" x14ac:dyDescent="0.25">
      <c r="A20" s="36" t="s">
        <v>25</v>
      </c>
      <c r="B20" s="35"/>
      <c r="C20" s="35"/>
      <c r="D20" s="35"/>
      <c r="E20" s="35"/>
      <c r="F20" s="35"/>
    </row>
    <row r="21" spans="1:6" x14ac:dyDescent="0.25">
      <c r="A21" s="36" t="s">
        <v>26</v>
      </c>
      <c r="B21" s="35"/>
      <c r="C21" s="35"/>
      <c r="D21" s="35"/>
      <c r="E21" s="35"/>
      <c r="F21" s="35"/>
    </row>
    <row r="22" spans="1:6" x14ac:dyDescent="0.25">
      <c r="A22" s="36" t="s">
        <v>27</v>
      </c>
      <c r="B22" s="35"/>
      <c r="C22" s="35"/>
      <c r="D22" s="35"/>
      <c r="E22" s="35"/>
      <c r="F22" s="35"/>
    </row>
    <row r="23" spans="1:6" x14ac:dyDescent="0.25">
      <c r="A23" s="36" t="s">
        <v>28</v>
      </c>
      <c r="B23" s="35"/>
      <c r="C23" s="35"/>
      <c r="D23" s="35"/>
      <c r="E23" s="35"/>
      <c r="F23" s="35"/>
    </row>
  </sheetData>
  <mergeCells count="12">
    <mergeCell ref="A23:F23"/>
    <mergeCell ref="A22:F22"/>
    <mergeCell ref="A12:F12"/>
    <mergeCell ref="A18:F18"/>
    <mergeCell ref="A20:F20"/>
    <mergeCell ref="A21:F21"/>
    <mergeCell ref="A15:F15"/>
    <mergeCell ref="A2:F2"/>
    <mergeCell ref="A13:F13"/>
    <mergeCell ref="A14:F14"/>
    <mergeCell ref="A19:F19"/>
    <mergeCell ref="A1:F1"/>
  </mergeCells>
  <pageMargins left="0.75" right="0.75" top="1" bottom="1" header="0.5" footer="0.5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28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8" customWidth="1"/>
    <col min="2" max="2" width="34" customWidth="1"/>
    <col min="3" max="3" width="24" customWidth="1"/>
    <col min="4" max="5" width="9" customWidth="1"/>
    <col min="6" max="6" width="11" customWidth="1"/>
    <col min="7" max="7" width="12" customWidth="1"/>
    <col min="8" max="8" width="30" customWidth="1"/>
    <col min="9" max="9" width="48" customWidth="1"/>
  </cols>
  <sheetData>
    <row r="1" spans="1:9" ht="24" customHeight="1" x14ac:dyDescent="0.3">
      <c r="A1" s="37" t="s">
        <v>29</v>
      </c>
      <c r="B1" s="35"/>
      <c r="C1" s="35"/>
      <c r="D1" s="35"/>
      <c r="E1" s="35"/>
      <c r="F1" s="35"/>
      <c r="G1" s="35"/>
      <c r="H1" s="35"/>
      <c r="I1" s="35"/>
    </row>
    <row r="2" spans="1:9" x14ac:dyDescent="0.25">
      <c r="A2" s="34" t="s">
        <v>30</v>
      </c>
      <c r="B2" s="35"/>
      <c r="C2" s="35"/>
      <c r="D2" s="35"/>
      <c r="E2" s="35"/>
      <c r="F2" s="35"/>
      <c r="G2" s="35"/>
      <c r="H2" s="35"/>
      <c r="I2" s="35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2" t="s">
        <v>31</v>
      </c>
    </row>
    <row r="6" spans="1:9" ht="30" customHeight="1" x14ac:dyDescent="0.25">
      <c r="A6" s="13" t="s">
        <v>32</v>
      </c>
      <c r="B6" s="13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3" t="s">
        <v>38</v>
      </c>
      <c r="H6" s="13" t="s">
        <v>39</v>
      </c>
      <c r="I6" s="13" t="s">
        <v>40</v>
      </c>
    </row>
    <row r="7" spans="1:9" x14ac:dyDescent="0.25">
      <c r="A7" s="14">
        <v>1</v>
      </c>
      <c r="B7" s="15" t="s">
        <v>41</v>
      </c>
      <c r="C7" s="16" t="s">
        <v>42</v>
      </c>
      <c r="D7" s="17">
        <v>4</v>
      </c>
      <c r="E7" s="14" t="s">
        <v>43</v>
      </c>
      <c r="F7" s="18"/>
      <c r="G7" s="14" t="str">
        <f t="shared" ref="G7:G24" si="0">IF(F7="","-",IF(D7&lt;=F7,"REORDER","OK"))</f>
        <v>-</v>
      </c>
      <c r="H7" s="15" t="s">
        <v>44</v>
      </c>
      <c r="I7" s="15"/>
    </row>
    <row r="8" spans="1:9" x14ac:dyDescent="0.25">
      <c r="A8" s="19">
        <v>2</v>
      </c>
      <c r="B8" s="20" t="s">
        <v>45</v>
      </c>
      <c r="C8" s="21" t="s">
        <v>42</v>
      </c>
      <c r="D8" s="22">
        <v>11</v>
      </c>
      <c r="E8" s="19" t="s">
        <v>46</v>
      </c>
      <c r="F8" s="18"/>
      <c r="G8" s="19" t="str">
        <f t="shared" si="0"/>
        <v>-</v>
      </c>
      <c r="H8" s="20" t="s">
        <v>47</v>
      </c>
      <c r="I8" s="20"/>
    </row>
    <row r="9" spans="1:9" x14ac:dyDescent="0.25">
      <c r="A9" s="14">
        <v>3</v>
      </c>
      <c r="B9" s="15" t="s">
        <v>48</v>
      </c>
      <c r="C9" s="16" t="s">
        <v>42</v>
      </c>
      <c r="D9" s="17">
        <v>70</v>
      </c>
      <c r="E9" s="14" t="s">
        <v>46</v>
      </c>
      <c r="F9" s="18"/>
      <c r="G9" s="14" t="str">
        <f t="shared" si="0"/>
        <v>-</v>
      </c>
      <c r="H9" s="15" t="s">
        <v>48</v>
      </c>
      <c r="I9" s="15"/>
    </row>
    <row r="10" spans="1:9" x14ac:dyDescent="0.25">
      <c r="A10" s="23">
        <v>4</v>
      </c>
      <c r="B10" s="24" t="s">
        <v>49</v>
      </c>
      <c r="C10" s="25" t="s">
        <v>50</v>
      </c>
      <c r="D10" s="26">
        <v>2</v>
      </c>
      <c r="E10" s="23" t="s">
        <v>43</v>
      </c>
      <c r="F10" s="18"/>
      <c r="G10" s="23" t="str">
        <f t="shared" si="0"/>
        <v>-</v>
      </c>
      <c r="H10" s="24" t="s">
        <v>51</v>
      </c>
      <c r="I10" s="24" t="s">
        <v>52</v>
      </c>
    </row>
    <row r="11" spans="1:9" x14ac:dyDescent="0.25">
      <c r="A11" s="14">
        <v>5</v>
      </c>
      <c r="B11" s="15" t="s">
        <v>53</v>
      </c>
      <c r="C11" s="16" t="s">
        <v>50</v>
      </c>
      <c r="D11" s="17">
        <v>2</v>
      </c>
      <c r="E11" s="14" t="s">
        <v>43</v>
      </c>
      <c r="F11" s="18"/>
      <c r="G11" s="14" t="str">
        <f t="shared" si="0"/>
        <v>-</v>
      </c>
      <c r="H11" s="15" t="s">
        <v>54</v>
      </c>
      <c r="I11" s="15"/>
    </row>
    <row r="12" spans="1:9" x14ac:dyDescent="0.25">
      <c r="A12" s="19">
        <v>6</v>
      </c>
      <c r="B12" s="20" t="s">
        <v>55</v>
      </c>
      <c r="C12" s="21" t="s">
        <v>56</v>
      </c>
      <c r="D12" s="22">
        <v>70</v>
      </c>
      <c r="E12" s="19" t="s">
        <v>46</v>
      </c>
      <c r="F12" s="18"/>
      <c r="G12" s="19" t="str">
        <f t="shared" si="0"/>
        <v>-</v>
      </c>
      <c r="H12" s="20" t="s">
        <v>57</v>
      </c>
      <c r="I12" s="20"/>
    </row>
    <row r="13" spans="1:9" x14ac:dyDescent="0.25">
      <c r="A13" s="14">
        <v>7</v>
      </c>
      <c r="B13" s="15" t="s">
        <v>58</v>
      </c>
      <c r="C13" s="16" t="s">
        <v>56</v>
      </c>
      <c r="D13" s="17">
        <v>27</v>
      </c>
      <c r="E13" s="14" t="s">
        <v>46</v>
      </c>
      <c r="F13" s="18"/>
      <c r="G13" s="14" t="str">
        <f t="shared" si="0"/>
        <v>-</v>
      </c>
      <c r="H13" s="15" t="s">
        <v>59</v>
      </c>
      <c r="I13" s="15"/>
    </row>
    <row r="14" spans="1:9" x14ac:dyDescent="0.25">
      <c r="A14" s="23">
        <v>8</v>
      </c>
      <c r="B14" s="24" t="s">
        <v>60</v>
      </c>
      <c r="C14" s="25" t="s">
        <v>56</v>
      </c>
      <c r="D14" s="26">
        <v>96</v>
      </c>
      <c r="E14" s="23" t="s">
        <v>46</v>
      </c>
      <c r="F14" s="18"/>
      <c r="G14" s="23" t="str">
        <f t="shared" si="0"/>
        <v>-</v>
      </c>
      <c r="H14" s="24" t="s">
        <v>61</v>
      </c>
      <c r="I14" s="24" t="s">
        <v>62</v>
      </c>
    </row>
    <row r="15" spans="1:9" x14ac:dyDescent="0.25">
      <c r="A15" s="14">
        <v>9</v>
      </c>
      <c r="B15" s="15" t="s">
        <v>63</v>
      </c>
      <c r="C15" s="16" t="s">
        <v>56</v>
      </c>
      <c r="D15" s="17">
        <v>103</v>
      </c>
      <c r="E15" s="14" t="s">
        <v>46</v>
      </c>
      <c r="F15" s="18"/>
      <c r="G15" s="14" t="str">
        <f t="shared" si="0"/>
        <v>-</v>
      </c>
      <c r="H15" s="15" t="s">
        <v>64</v>
      </c>
      <c r="I15" s="15"/>
    </row>
    <row r="16" spans="1:9" x14ac:dyDescent="0.25">
      <c r="A16" s="19">
        <v>10</v>
      </c>
      <c r="B16" s="20" t="s">
        <v>65</v>
      </c>
      <c r="C16" s="21" t="s">
        <v>56</v>
      </c>
      <c r="D16" s="22">
        <v>25</v>
      </c>
      <c r="E16" s="19" t="s">
        <v>46</v>
      </c>
      <c r="F16" s="18"/>
      <c r="G16" s="19" t="str">
        <f t="shared" si="0"/>
        <v>-</v>
      </c>
      <c r="H16" s="20" t="s">
        <v>65</v>
      </c>
      <c r="I16" s="20"/>
    </row>
    <row r="17" spans="1:9" x14ac:dyDescent="0.25">
      <c r="A17" s="14">
        <v>11</v>
      </c>
      <c r="B17" s="15" t="s">
        <v>66</v>
      </c>
      <c r="C17" s="16" t="s">
        <v>67</v>
      </c>
      <c r="D17" s="17">
        <v>12</v>
      </c>
      <c r="E17" s="14" t="s">
        <v>46</v>
      </c>
      <c r="F17" s="18"/>
      <c r="G17" s="14" t="str">
        <f t="shared" si="0"/>
        <v>-</v>
      </c>
      <c r="H17" s="15" t="s">
        <v>68</v>
      </c>
      <c r="I17" s="15"/>
    </row>
    <row r="18" spans="1:9" x14ac:dyDescent="0.25">
      <c r="A18" s="19">
        <v>12</v>
      </c>
      <c r="B18" s="20" t="s">
        <v>69</v>
      </c>
      <c r="C18" s="21" t="s">
        <v>70</v>
      </c>
      <c r="D18" s="22">
        <v>3</v>
      </c>
      <c r="E18" s="19" t="s">
        <v>71</v>
      </c>
      <c r="F18" s="18"/>
      <c r="G18" s="19" t="str">
        <f t="shared" si="0"/>
        <v>-</v>
      </c>
      <c r="H18" s="20" t="s">
        <v>69</v>
      </c>
      <c r="I18" s="20"/>
    </row>
    <row r="19" spans="1:9" x14ac:dyDescent="0.25">
      <c r="A19" s="14">
        <v>13</v>
      </c>
      <c r="B19" s="15" t="s">
        <v>72</v>
      </c>
      <c r="C19" s="16" t="s">
        <v>70</v>
      </c>
      <c r="D19" s="17">
        <v>4.5</v>
      </c>
      <c r="E19" s="14" t="s">
        <v>71</v>
      </c>
      <c r="F19" s="18"/>
      <c r="G19" s="14" t="str">
        <f t="shared" si="0"/>
        <v>-</v>
      </c>
      <c r="H19" s="15" t="s">
        <v>73</v>
      </c>
      <c r="I19" s="15"/>
    </row>
    <row r="20" spans="1:9" x14ac:dyDescent="0.25">
      <c r="A20" s="19">
        <v>14</v>
      </c>
      <c r="B20" s="20" t="s">
        <v>74</v>
      </c>
      <c r="C20" s="21" t="s">
        <v>70</v>
      </c>
      <c r="D20" s="22">
        <v>2</v>
      </c>
      <c r="E20" s="19" t="s">
        <v>71</v>
      </c>
      <c r="F20" s="18"/>
      <c r="G20" s="19" t="str">
        <f t="shared" si="0"/>
        <v>-</v>
      </c>
      <c r="H20" s="20" t="s">
        <v>74</v>
      </c>
      <c r="I20" s="20"/>
    </row>
    <row r="21" spans="1:9" x14ac:dyDescent="0.25">
      <c r="A21" s="14">
        <v>15</v>
      </c>
      <c r="B21" s="15" t="s">
        <v>75</v>
      </c>
      <c r="C21" s="16" t="s">
        <v>70</v>
      </c>
      <c r="D21" s="17">
        <v>5</v>
      </c>
      <c r="E21" s="14" t="s">
        <v>71</v>
      </c>
      <c r="F21" s="18"/>
      <c r="G21" s="14" t="str">
        <f t="shared" si="0"/>
        <v>-</v>
      </c>
      <c r="H21" s="15" t="s">
        <v>76</v>
      </c>
      <c r="I21" s="15" t="s">
        <v>77</v>
      </c>
    </row>
    <row r="22" spans="1:9" x14ac:dyDescent="0.25">
      <c r="A22" s="19">
        <v>16</v>
      </c>
      <c r="B22" s="20" t="s">
        <v>78</v>
      </c>
      <c r="C22" s="21" t="s">
        <v>42</v>
      </c>
      <c r="D22" s="22">
        <v>5</v>
      </c>
      <c r="E22" s="19" t="s">
        <v>71</v>
      </c>
      <c r="F22" s="18"/>
      <c r="G22" s="19" t="str">
        <f t="shared" si="0"/>
        <v>-</v>
      </c>
      <c r="H22" s="20" t="s">
        <v>78</v>
      </c>
      <c r="I22" s="20"/>
    </row>
    <row r="23" spans="1:9" x14ac:dyDescent="0.25">
      <c r="A23" s="14">
        <v>17</v>
      </c>
      <c r="B23" s="15" t="s">
        <v>79</v>
      </c>
      <c r="C23" s="16" t="s">
        <v>42</v>
      </c>
      <c r="D23" s="17">
        <v>1</v>
      </c>
      <c r="E23" s="14" t="s">
        <v>71</v>
      </c>
      <c r="F23" s="18"/>
      <c r="G23" s="14" t="str">
        <f t="shared" si="0"/>
        <v>-</v>
      </c>
      <c r="H23" s="15" t="s">
        <v>80</v>
      </c>
      <c r="I23" s="15"/>
    </row>
    <row r="24" spans="1:9" x14ac:dyDescent="0.25">
      <c r="A24" s="19">
        <v>18</v>
      </c>
      <c r="B24" s="20" t="s">
        <v>81</v>
      </c>
      <c r="C24" s="21" t="s">
        <v>50</v>
      </c>
      <c r="D24" s="22">
        <v>29</v>
      </c>
      <c r="E24" s="19" t="s">
        <v>46</v>
      </c>
      <c r="F24" s="18"/>
      <c r="G24" s="19" t="str">
        <f t="shared" si="0"/>
        <v>-</v>
      </c>
      <c r="H24" s="20" t="s">
        <v>82</v>
      </c>
      <c r="I24" s="20"/>
    </row>
    <row r="25" spans="1:9" x14ac:dyDescent="0.25">
      <c r="B25" s="27" t="s">
        <v>83</v>
      </c>
      <c r="D25" s="27">
        <f>COUNTA(B7:B24)</f>
        <v>18</v>
      </c>
    </row>
    <row r="26" spans="1:9" x14ac:dyDescent="0.25">
      <c r="B26" s="27" t="s">
        <v>84</v>
      </c>
      <c r="D26" s="28">
        <f>COUNTIF(G7:G24,"REORDER")</f>
        <v>0</v>
      </c>
    </row>
    <row r="28" spans="1:9" x14ac:dyDescent="0.25">
      <c r="B28" s="10" t="s">
        <v>85</v>
      </c>
      <c r="H28" s="10" t="s">
        <v>86</v>
      </c>
    </row>
  </sheetData>
  <autoFilter ref="A6:I24" xr:uid="{00000000-0009-0000-0000-000001000000}"/>
  <mergeCells count="2">
    <mergeCell ref="A1:I1"/>
    <mergeCell ref="A2:I2"/>
  </mergeCells>
  <conditionalFormatting sqref="G7:G24">
    <cfRule type="expression" dxfId="5" priority="1">
      <formula>G7="REORDER"</formula>
    </cfRule>
    <cfRule type="expression" dxfId="4" priority="2">
      <formula>G7="OK"</formula>
    </cfRule>
  </conditionalFormatting>
  <printOptions horizontalCentered="1"/>
  <pageMargins left="0.4" right="0.4" top="1" bottom="1" header="0.5" footer="0.5"/>
  <pageSetup paperSize="9" fitToHeight="0" orientation="landscape"/>
  <headerFooter>
    <oddFooter>&amp;CHotel Sky 5 - Inventory  | 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30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8" customWidth="1"/>
    <col min="2" max="2" width="34" customWidth="1"/>
    <col min="3" max="3" width="24" customWidth="1"/>
    <col min="4" max="5" width="9" customWidth="1"/>
    <col min="6" max="6" width="11" customWidth="1"/>
    <col min="7" max="7" width="12" customWidth="1"/>
    <col min="8" max="8" width="30" customWidth="1"/>
    <col min="9" max="9" width="48" customWidth="1"/>
  </cols>
  <sheetData>
    <row r="1" spans="1:9" ht="24" customHeight="1" x14ac:dyDescent="0.3">
      <c r="A1" s="37" t="s">
        <v>87</v>
      </c>
      <c r="B1" s="35"/>
      <c r="C1" s="35"/>
      <c r="D1" s="35"/>
      <c r="E1" s="35"/>
      <c r="F1" s="35"/>
      <c r="G1" s="35"/>
      <c r="H1" s="35"/>
      <c r="I1" s="35"/>
    </row>
    <row r="2" spans="1:9" x14ac:dyDescent="0.25">
      <c r="A2" s="34" t="s">
        <v>88</v>
      </c>
      <c r="B2" s="35"/>
      <c r="C2" s="35"/>
      <c r="D2" s="35"/>
      <c r="E2" s="35"/>
      <c r="F2" s="35"/>
      <c r="G2" s="35"/>
      <c r="H2" s="35"/>
      <c r="I2" s="35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2" t="s">
        <v>31</v>
      </c>
    </row>
    <row r="6" spans="1:9" ht="30" customHeight="1" x14ac:dyDescent="0.25">
      <c r="A6" s="13" t="s">
        <v>32</v>
      </c>
      <c r="B6" s="13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3" t="s">
        <v>38</v>
      </c>
      <c r="H6" s="13" t="s">
        <v>39</v>
      </c>
      <c r="I6" s="13" t="s">
        <v>40</v>
      </c>
    </row>
    <row r="7" spans="1:9" x14ac:dyDescent="0.25">
      <c r="A7" s="14">
        <v>1</v>
      </c>
      <c r="B7" s="15" t="s">
        <v>89</v>
      </c>
      <c r="C7" s="16" t="s">
        <v>90</v>
      </c>
      <c r="D7" s="17">
        <v>12</v>
      </c>
      <c r="E7" s="14" t="s">
        <v>46</v>
      </c>
      <c r="F7" s="18"/>
      <c r="G7" s="14" t="str">
        <f t="shared" ref="G7:G26" si="0">IF(F7="","-",IF(D7&lt;=F7,"REORDER","OK"))</f>
        <v>-</v>
      </c>
      <c r="H7" s="15" t="s">
        <v>89</v>
      </c>
      <c r="I7" s="15"/>
    </row>
    <row r="8" spans="1:9" x14ac:dyDescent="0.25">
      <c r="A8" s="19">
        <v>2</v>
      </c>
      <c r="B8" s="20" t="s">
        <v>91</v>
      </c>
      <c r="C8" s="21" t="s">
        <v>90</v>
      </c>
      <c r="D8" s="22">
        <v>6</v>
      </c>
      <c r="E8" s="19" t="s">
        <v>46</v>
      </c>
      <c r="F8" s="18"/>
      <c r="G8" s="19" t="str">
        <f t="shared" si="0"/>
        <v>-</v>
      </c>
      <c r="H8" s="20" t="s">
        <v>92</v>
      </c>
      <c r="I8" s="20"/>
    </row>
    <row r="9" spans="1:9" x14ac:dyDescent="0.25">
      <c r="A9" s="14">
        <v>3</v>
      </c>
      <c r="B9" s="15" t="s">
        <v>93</v>
      </c>
      <c r="C9" s="16" t="s">
        <v>94</v>
      </c>
      <c r="D9" s="17">
        <v>7</v>
      </c>
      <c r="E9" s="14" t="s">
        <v>46</v>
      </c>
      <c r="F9" s="18"/>
      <c r="G9" s="14" t="str">
        <f t="shared" si="0"/>
        <v>-</v>
      </c>
      <c r="H9" s="15" t="s">
        <v>95</v>
      </c>
      <c r="I9" s="15"/>
    </row>
    <row r="10" spans="1:9" x14ac:dyDescent="0.25">
      <c r="A10" s="19">
        <v>4</v>
      </c>
      <c r="B10" s="20" t="s">
        <v>96</v>
      </c>
      <c r="C10" s="21" t="s">
        <v>94</v>
      </c>
      <c r="D10" s="22">
        <v>1</v>
      </c>
      <c r="E10" s="19" t="s">
        <v>46</v>
      </c>
      <c r="F10" s="18"/>
      <c r="G10" s="19" t="str">
        <f t="shared" si="0"/>
        <v>-</v>
      </c>
      <c r="H10" s="20" t="s">
        <v>97</v>
      </c>
      <c r="I10" s="20"/>
    </row>
    <row r="11" spans="1:9" x14ac:dyDescent="0.25">
      <c r="A11" s="14">
        <v>5</v>
      </c>
      <c r="B11" s="15" t="s">
        <v>98</v>
      </c>
      <c r="C11" s="16" t="s">
        <v>94</v>
      </c>
      <c r="D11" s="17">
        <v>2</v>
      </c>
      <c r="E11" s="14" t="s">
        <v>46</v>
      </c>
      <c r="F11" s="18"/>
      <c r="G11" s="14" t="str">
        <f t="shared" si="0"/>
        <v>-</v>
      </c>
      <c r="H11" s="15" t="s">
        <v>99</v>
      </c>
      <c r="I11" s="15"/>
    </row>
    <row r="12" spans="1:9" x14ac:dyDescent="0.25">
      <c r="A12" s="19">
        <v>6</v>
      </c>
      <c r="B12" s="20" t="s">
        <v>100</v>
      </c>
      <c r="C12" s="21" t="s">
        <v>90</v>
      </c>
      <c r="D12" s="22">
        <v>26</v>
      </c>
      <c r="E12" s="19" t="s">
        <v>46</v>
      </c>
      <c r="F12" s="18"/>
      <c r="G12" s="19" t="str">
        <f t="shared" si="0"/>
        <v>-</v>
      </c>
      <c r="H12" s="20" t="s">
        <v>101</v>
      </c>
      <c r="I12" s="20"/>
    </row>
    <row r="13" spans="1:9" x14ac:dyDescent="0.25">
      <c r="A13" s="14">
        <v>7</v>
      </c>
      <c r="B13" s="15" t="s">
        <v>102</v>
      </c>
      <c r="C13" s="16" t="s">
        <v>90</v>
      </c>
      <c r="D13" s="17">
        <v>17</v>
      </c>
      <c r="E13" s="14" t="s">
        <v>46</v>
      </c>
      <c r="F13" s="18"/>
      <c r="G13" s="14" t="str">
        <f t="shared" si="0"/>
        <v>-</v>
      </c>
      <c r="H13" s="15" t="s">
        <v>102</v>
      </c>
      <c r="I13" s="15"/>
    </row>
    <row r="14" spans="1:9" x14ac:dyDescent="0.25">
      <c r="A14" s="19">
        <v>8</v>
      </c>
      <c r="B14" s="20" t="s">
        <v>103</v>
      </c>
      <c r="C14" s="21" t="s">
        <v>104</v>
      </c>
      <c r="D14" s="22">
        <v>32</v>
      </c>
      <c r="E14" s="19" t="s">
        <v>46</v>
      </c>
      <c r="F14" s="18"/>
      <c r="G14" s="19" t="str">
        <f t="shared" si="0"/>
        <v>-</v>
      </c>
      <c r="H14" s="20" t="s">
        <v>103</v>
      </c>
      <c r="I14" s="20"/>
    </row>
    <row r="15" spans="1:9" x14ac:dyDescent="0.25">
      <c r="A15" s="14">
        <v>9</v>
      </c>
      <c r="B15" s="15" t="s">
        <v>105</v>
      </c>
      <c r="C15" s="16" t="s">
        <v>104</v>
      </c>
      <c r="D15" s="17">
        <v>21</v>
      </c>
      <c r="E15" s="14" t="s">
        <v>46</v>
      </c>
      <c r="F15" s="18"/>
      <c r="G15" s="14" t="str">
        <f t="shared" si="0"/>
        <v>-</v>
      </c>
      <c r="H15" s="15" t="s">
        <v>106</v>
      </c>
      <c r="I15" s="15"/>
    </row>
    <row r="16" spans="1:9" x14ac:dyDescent="0.25">
      <c r="A16" s="19">
        <v>10</v>
      </c>
      <c r="B16" s="20" t="s">
        <v>107</v>
      </c>
      <c r="C16" s="21" t="s">
        <v>104</v>
      </c>
      <c r="D16" s="22">
        <v>11</v>
      </c>
      <c r="E16" s="19" t="s">
        <v>46</v>
      </c>
      <c r="F16" s="18"/>
      <c r="G16" s="19" t="str">
        <f t="shared" si="0"/>
        <v>-</v>
      </c>
      <c r="H16" s="20" t="s">
        <v>108</v>
      </c>
      <c r="I16" s="20"/>
    </row>
    <row r="17" spans="1:9" x14ac:dyDescent="0.25">
      <c r="A17" s="14">
        <v>11</v>
      </c>
      <c r="B17" s="15" t="s">
        <v>109</v>
      </c>
      <c r="C17" s="16" t="s">
        <v>90</v>
      </c>
      <c r="D17" s="17">
        <v>4</v>
      </c>
      <c r="E17" s="14" t="s">
        <v>46</v>
      </c>
      <c r="F17" s="18"/>
      <c r="G17" s="14" t="str">
        <f t="shared" si="0"/>
        <v>-</v>
      </c>
      <c r="H17" s="15" t="s">
        <v>109</v>
      </c>
      <c r="I17" s="15"/>
    </row>
    <row r="18" spans="1:9" x14ac:dyDescent="0.25">
      <c r="A18" s="19">
        <v>12</v>
      </c>
      <c r="B18" s="20" t="s">
        <v>110</v>
      </c>
      <c r="C18" s="21" t="s">
        <v>90</v>
      </c>
      <c r="D18" s="22">
        <v>17</v>
      </c>
      <c r="E18" s="19" t="s">
        <v>46</v>
      </c>
      <c r="F18" s="18"/>
      <c r="G18" s="19" t="str">
        <f t="shared" si="0"/>
        <v>-</v>
      </c>
      <c r="H18" s="20" t="s">
        <v>111</v>
      </c>
      <c r="I18" s="20" t="s">
        <v>112</v>
      </c>
    </row>
    <row r="19" spans="1:9" x14ac:dyDescent="0.25">
      <c r="A19" s="14">
        <v>13</v>
      </c>
      <c r="B19" s="15" t="s">
        <v>113</v>
      </c>
      <c r="C19" s="16" t="s">
        <v>90</v>
      </c>
      <c r="D19" s="17">
        <v>17</v>
      </c>
      <c r="E19" s="14" t="s">
        <v>46</v>
      </c>
      <c r="F19" s="18"/>
      <c r="G19" s="14" t="str">
        <f t="shared" si="0"/>
        <v>-</v>
      </c>
      <c r="H19" s="15" t="s">
        <v>114</v>
      </c>
      <c r="I19" s="15"/>
    </row>
    <row r="20" spans="1:9" x14ac:dyDescent="0.25">
      <c r="A20" s="19">
        <v>14</v>
      </c>
      <c r="B20" s="20" t="s">
        <v>115</v>
      </c>
      <c r="C20" s="21" t="s">
        <v>90</v>
      </c>
      <c r="D20" s="22">
        <v>15</v>
      </c>
      <c r="E20" s="19" t="s">
        <v>46</v>
      </c>
      <c r="F20" s="18"/>
      <c r="G20" s="19" t="str">
        <f t="shared" si="0"/>
        <v>-</v>
      </c>
      <c r="H20" s="20" t="s">
        <v>115</v>
      </c>
      <c r="I20" s="20"/>
    </row>
    <row r="21" spans="1:9" x14ac:dyDescent="0.25">
      <c r="A21" s="14">
        <v>15</v>
      </c>
      <c r="B21" s="15" t="s">
        <v>116</v>
      </c>
      <c r="C21" s="16" t="s">
        <v>90</v>
      </c>
      <c r="D21" s="17">
        <v>12</v>
      </c>
      <c r="E21" s="14" t="s">
        <v>46</v>
      </c>
      <c r="F21" s="18"/>
      <c r="G21" s="14" t="str">
        <f t="shared" si="0"/>
        <v>-</v>
      </c>
      <c r="H21" s="15" t="s">
        <v>117</v>
      </c>
      <c r="I21" s="15"/>
    </row>
    <row r="22" spans="1:9" x14ac:dyDescent="0.25">
      <c r="A22" s="19">
        <v>16</v>
      </c>
      <c r="B22" s="20" t="s">
        <v>118</v>
      </c>
      <c r="C22" s="21" t="s">
        <v>90</v>
      </c>
      <c r="D22" s="22">
        <v>12</v>
      </c>
      <c r="E22" s="19" t="s">
        <v>46</v>
      </c>
      <c r="F22" s="18"/>
      <c r="G22" s="19" t="str">
        <f t="shared" si="0"/>
        <v>-</v>
      </c>
      <c r="H22" s="20" t="s">
        <v>118</v>
      </c>
      <c r="I22" s="20"/>
    </row>
    <row r="23" spans="1:9" x14ac:dyDescent="0.25">
      <c r="A23" s="23">
        <v>17</v>
      </c>
      <c r="B23" s="24" t="s">
        <v>119</v>
      </c>
      <c r="C23" s="25" t="s">
        <v>90</v>
      </c>
      <c r="D23" s="26">
        <v>10</v>
      </c>
      <c r="E23" s="23" t="s">
        <v>46</v>
      </c>
      <c r="F23" s="18"/>
      <c r="G23" s="23" t="str">
        <f t="shared" si="0"/>
        <v>-</v>
      </c>
      <c r="H23" s="24" t="s">
        <v>120</v>
      </c>
      <c r="I23" s="24" t="s">
        <v>121</v>
      </c>
    </row>
    <row r="24" spans="1:9" x14ac:dyDescent="0.25">
      <c r="A24" s="19">
        <v>18</v>
      </c>
      <c r="B24" s="20" t="s">
        <v>122</v>
      </c>
      <c r="C24" s="21" t="s">
        <v>94</v>
      </c>
      <c r="D24" s="22">
        <v>4</v>
      </c>
      <c r="E24" s="19" t="s">
        <v>46</v>
      </c>
      <c r="F24" s="18"/>
      <c r="G24" s="19" t="str">
        <f t="shared" si="0"/>
        <v>-</v>
      </c>
      <c r="H24" s="20" t="s">
        <v>123</v>
      </c>
      <c r="I24" s="20"/>
    </row>
    <row r="25" spans="1:9" x14ac:dyDescent="0.25">
      <c r="A25" s="14">
        <v>19</v>
      </c>
      <c r="B25" s="15" t="s">
        <v>124</v>
      </c>
      <c r="C25" s="16" t="s">
        <v>94</v>
      </c>
      <c r="D25" s="17">
        <v>2</v>
      </c>
      <c r="E25" s="14" t="s">
        <v>46</v>
      </c>
      <c r="F25" s="18"/>
      <c r="G25" s="14" t="str">
        <f t="shared" si="0"/>
        <v>-</v>
      </c>
      <c r="H25" s="15" t="s">
        <v>125</v>
      </c>
      <c r="I25" s="15"/>
    </row>
    <row r="26" spans="1:9" x14ac:dyDescent="0.25">
      <c r="A26" s="23">
        <v>20</v>
      </c>
      <c r="B26" s="24" t="s">
        <v>126</v>
      </c>
      <c r="C26" s="25" t="s">
        <v>94</v>
      </c>
      <c r="D26" s="26">
        <v>4</v>
      </c>
      <c r="E26" s="23" t="s">
        <v>46</v>
      </c>
      <c r="F26" s="18"/>
      <c r="G26" s="23" t="str">
        <f t="shared" si="0"/>
        <v>-</v>
      </c>
      <c r="H26" s="24" t="s">
        <v>127</v>
      </c>
      <c r="I26" s="24" t="s">
        <v>128</v>
      </c>
    </row>
    <row r="27" spans="1:9" x14ac:dyDescent="0.25">
      <c r="B27" s="27" t="s">
        <v>83</v>
      </c>
      <c r="D27" s="27">
        <f>COUNTA(B7:B26)</f>
        <v>20</v>
      </c>
    </row>
    <row r="28" spans="1:9" x14ac:dyDescent="0.25">
      <c r="B28" s="27" t="s">
        <v>84</v>
      </c>
      <c r="D28" s="28">
        <f>COUNTIF(G7:G26,"REORDER")</f>
        <v>0</v>
      </c>
    </row>
    <row r="30" spans="1:9" x14ac:dyDescent="0.25">
      <c r="B30" s="10" t="s">
        <v>85</v>
      </c>
      <c r="H30" s="10" t="s">
        <v>86</v>
      </c>
    </row>
  </sheetData>
  <autoFilter ref="A6:I26" xr:uid="{00000000-0009-0000-0000-000002000000}"/>
  <mergeCells count="2">
    <mergeCell ref="A1:I1"/>
    <mergeCell ref="A2:I2"/>
  </mergeCells>
  <conditionalFormatting sqref="G7:G26">
    <cfRule type="expression" dxfId="3" priority="1">
      <formula>G7="REORDER"</formula>
    </cfRule>
    <cfRule type="expression" dxfId="2" priority="2">
      <formula>G7="OK"</formula>
    </cfRule>
  </conditionalFormatting>
  <printOptions horizontalCentered="1"/>
  <pageMargins left="0.4" right="0.4" top="1" bottom="1" header="0.5" footer="0.5"/>
  <pageSetup paperSize="9" fitToHeight="0" orientation="landscape"/>
  <headerFooter>
    <oddFooter>&amp;CHotel Sky 5 - Inventory  | 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I51"/>
  <sheetViews>
    <sheetView workbookViewId="0">
      <pane ySplit="6" topLeftCell="A7" activePane="bottomLeft" state="frozen"/>
      <selection pane="bottomLeft"/>
    </sheetView>
  </sheetViews>
  <sheetFormatPr defaultRowHeight="15" x14ac:dyDescent="0.25"/>
  <cols>
    <col min="1" max="1" width="8" customWidth="1"/>
    <col min="2" max="2" width="34" customWidth="1"/>
    <col min="3" max="3" width="24" customWidth="1"/>
    <col min="4" max="5" width="9" customWidth="1"/>
    <col min="6" max="6" width="11" customWidth="1"/>
    <col min="7" max="7" width="12" customWidth="1"/>
    <col min="8" max="8" width="30" customWidth="1"/>
    <col min="9" max="9" width="48" customWidth="1"/>
  </cols>
  <sheetData>
    <row r="1" spans="1:9" ht="24" customHeight="1" x14ac:dyDescent="0.3">
      <c r="A1" s="37" t="s">
        <v>129</v>
      </c>
      <c r="B1" s="35"/>
      <c r="C1" s="35"/>
      <c r="D1" s="35"/>
      <c r="E1" s="35"/>
      <c r="F1" s="35"/>
      <c r="G1" s="35"/>
      <c r="H1" s="35"/>
      <c r="I1" s="35"/>
    </row>
    <row r="2" spans="1:9" x14ac:dyDescent="0.25">
      <c r="A2" s="34" t="s">
        <v>130</v>
      </c>
      <c r="B2" s="35"/>
      <c r="C2" s="35"/>
      <c r="D2" s="35"/>
      <c r="E2" s="35"/>
      <c r="F2" s="35"/>
      <c r="G2" s="35"/>
      <c r="H2" s="35"/>
      <c r="I2" s="35"/>
    </row>
    <row r="3" spans="1:9" x14ac:dyDescent="0.25">
      <c r="A3" s="1"/>
      <c r="B3" s="1"/>
      <c r="C3" s="1"/>
      <c r="D3" s="1"/>
      <c r="E3" s="1"/>
      <c r="F3" s="1"/>
      <c r="G3" s="1"/>
      <c r="H3" s="1"/>
      <c r="I3" s="1"/>
    </row>
    <row r="4" spans="1:9" x14ac:dyDescent="0.25">
      <c r="A4" s="12" t="s">
        <v>31</v>
      </c>
    </row>
    <row r="6" spans="1:9" ht="30" customHeight="1" x14ac:dyDescent="0.25">
      <c r="A6" s="13" t="s">
        <v>32</v>
      </c>
      <c r="B6" s="13" t="s">
        <v>33</v>
      </c>
      <c r="C6" s="13" t="s">
        <v>34</v>
      </c>
      <c r="D6" s="13" t="s">
        <v>35</v>
      </c>
      <c r="E6" s="13" t="s">
        <v>36</v>
      </c>
      <c r="F6" s="13" t="s">
        <v>37</v>
      </c>
      <c r="G6" s="13" t="s">
        <v>38</v>
      </c>
      <c r="H6" s="13" t="s">
        <v>39</v>
      </c>
      <c r="I6" s="13" t="s">
        <v>40</v>
      </c>
    </row>
    <row r="7" spans="1:9" x14ac:dyDescent="0.25">
      <c r="A7" s="14">
        <v>1</v>
      </c>
      <c r="B7" s="15" t="s">
        <v>131</v>
      </c>
      <c r="C7" s="16" t="s">
        <v>132</v>
      </c>
      <c r="D7" s="17">
        <v>1</v>
      </c>
      <c r="E7" s="14" t="s">
        <v>46</v>
      </c>
      <c r="F7" s="18"/>
      <c r="G7" s="14" t="str">
        <f t="shared" ref="G7:G43" si="0">IF(F7="","-",IF(D7&lt;=F7,"REORDER","OK"))</f>
        <v>-</v>
      </c>
      <c r="H7" s="15" t="s">
        <v>133</v>
      </c>
      <c r="I7" s="15"/>
    </row>
    <row r="8" spans="1:9" x14ac:dyDescent="0.25">
      <c r="A8" s="19">
        <v>2</v>
      </c>
      <c r="B8" s="20" t="s">
        <v>75</v>
      </c>
      <c r="C8" s="21" t="s">
        <v>70</v>
      </c>
      <c r="D8" s="22">
        <v>4</v>
      </c>
      <c r="E8" s="19" t="s">
        <v>134</v>
      </c>
      <c r="F8" s="18"/>
      <c r="G8" s="19" t="str">
        <f t="shared" si="0"/>
        <v>-</v>
      </c>
      <c r="H8" s="20" t="s">
        <v>75</v>
      </c>
      <c r="I8" s="20"/>
    </row>
    <row r="9" spans="1:9" x14ac:dyDescent="0.25">
      <c r="A9" s="14">
        <v>3</v>
      </c>
      <c r="B9" s="15" t="s">
        <v>45</v>
      </c>
      <c r="C9" s="16" t="s">
        <v>42</v>
      </c>
      <c r="D9" s="17">
        <v>10</v>
      </c>
      <c r="E9" s="14" t="s">
        <v>46</v>
      </c>
      <c r="F9" s="18"/>
      <c r="G9" s="14" t="str">
        <f t="shared" si="0"/>
        <v>-</v>
      </c>
      <c r="H9" s="15" t="s">
        <v>135</v>
      </c>
      <c r="I9" s="15"/>
    </row>
    <row r="10" spans="1:9" x14ac:dyDescent="0.25">
      <c r="A10" s="23">
        <v>4</v>
      </c>
      <c r="B10" s="24" t="s">
        <v>53</v>
      </c>
      <c r="C10" s="25" t="s">
        <v>50</v>
      </c>
      <c r="D10" s="26">
        <v>14</v>
      </c>
      <c r="E10" s="23" t="s">
        <v>136</v>
      </c>
      <c r="F10" s="18"/>
      <c r="G10" s="23" t="str">
        <f t="shared" si="0"/>
        <v>-</v>
      </c>
      <c r="H10" s="24" t="s">
        <v>137</v>
      </c>
      <c r="I10" s="24" t="s">
        <v>138</v>
      </c>
    </row>
    <row r="11" spans="1:9" x14ac:dyDescent="0.25">
      <c r="A11" s="14">
        <v>5</v>
      </c>
      <c r="B11" s="15" t="s">
        <v>79</v>
      </c>
      <c r="C11" s="16" t="s">
        <v>42</v>
      </c>
      <c r="D11" s="17">
        <v>5</v>
      </c>
      <c r="E11" s="14" t="s">
        <v>71</v>
      </c>
      <c r="F11" s="18"/>
      <c r="G11" s="14" t="str">
        <f t="shared" si="0"/>
        <v>-</v>
      </c>
      <c r="H11" s="15" t="s">
        <v>139</v>
      </c>
      <c r="I11" s="15"/>
    </row>
    <row r="12" spans="1:9" x14ac:dyDescent="0.25">
      <c r="A12" s="19">
        <v>6</v>
      </c>
      <c r="B12" s="20" t="s">
        <v>78</v>
      </c>
      <c r="C12" s="21" t="s">
        <v>42</v>
      </c>
      <c r="D12" s="22">
        <v>15</v>
      </c>
      <c r="E12" s="19" t="s">
        <v>71</v>
      </c>
      <c r="F12" s="18"/>
      <c r="G12" s="19" t="str">
        <f t="shared" si="0"/>
        <v>-</v>
      </c>
      <c r="H12" s="20" t="s">
        <v>140</v>
      </c>
      <c r="I12" s="20"/>
    </row>
    <row r="13" spans="1:9" x14ac:dyDescent="0.25">
      <c r="A13" s="14">
        <v>7</v>
      </c>
      <c r="B13" s="15" t="s">
        <v>69</v>
      </c>
      <c r="C13" s="16" t="s">
        <v>70</v>
      </c>
      <c r="D13" s="17">
        <v>5</v>
      </c>
      <c r="E13" s="14" t="s">
        <v>71</v>
      </c>
      <c r="F13" s="18"/>
      <c r="G13" s="14" t="str">
        <f t="shared" si="0"/>
        <v>-</v>
      </c>
      <c r="H13" s="15" t="s">
        <v>141</v>
      </c>
      <c r="I13" s="15"/>
    </row>
    <row r="14" spans="1:9" x14ac:dyDescent="0.25">
      <c r="A14" s="19">
        <v>8</v>
      </c>
      <c r="B14" s="20" t="s">
        <v>142</v>
      </c>
      <c r="C14" s="21" t="s">
        <v>70</v>
      </c>
      <c r="D14" s="22">
        <v>5</v>
      </c>
      <c r="E14" s="19" t="s">
        <v>71</v>
      </c>
      <c r="F14" s="18"/>
      <c r="G14" s="19" t="str">
        <f t="shared" si="0"/>
        <v>-</v>
      </c>
      <c r="H14" s="20" t="s">
        <v>143</v>
      </c>
      <c r="I14" s="20"/>
    </row>
    <row r="15" spans="1:9" x14ac:dyDescent="0.25">
      <c r="A15" s="14">
        <v>9</v>
      </c>
      <c r="B15" s="15" t="s">
        <v>144</v>
      </c>
      <c r="C15" s="16" t="s">
        <v>70</v>
      </c>
      <c r="D15" s="17">
        <v>5</v>
      </c>
      <c r="E15" s="14" t="s">
        <v>71</v>
      </c>
      <c r="F15" s="18"/>
      <c r="G15" s="14" t="str">
        <f t="shared" si="0"/>
        <v>-</v>
      </c>
      <c r="H15" s="15" t="s">
        <v>145</v>
      </c>
      <c r="I15" s="15"/>
    </row>
    <row r="16" spans="1:9" x14ac:dyDescent="0.25">
      <c r="A16" s="19">
        <v>10</v>
      </c>
      <c r="B16" s="20" t="s">
        <v>74</v>
      </c>
      <c r="C16" s="21" t="s">
        <v>70</v>
      </c>
      <c r="D16" s="22">
        <v>5</v>
      </c>
      <c r="E16" s="19" t="s">
        <v>71</v>
      </c>
      <c r="F16" s="18"/>
      <c r="G16" s="19" t="str">
        <f t="shared" si="0"/>
        <v>-</v>
      </c>
      <c r="H16" s="20" t="s">
        <v>74</v>
      </c>
      <c r="I16" s="20"/>
    </row>
    <row r="17" spans="1:9" x14ac:dyDescent="0.25">
      <c r="A17" s="14">
        <v>11</v>
      </c>
      <c r="B17" s="15" t="s">
        <v>146</v>
      </c>
      <c r="C17" s="16" t="s">
        <v>70</v>
      </c>
      <c r="D17" s="17">
        <v>5</v>
      </c>
      <c r="E17" s="14" t="s">
        <v>71</v>
      </c>
      <c r="F17" s="18"/>
      <c r="G17" s="14" t="str">
        <f t="shared" si="0"/>
        <v>-</v>
      </c>
      <c r="H17" s="15" t="s">
        <v>147</v>
      </c>
      <c r="I17" s="15"/>
    </row>
    <row r="18" spans="1:9" x14ac:dyDescent="0.25">
      <c r="A18" s="19">
        <v>12</v>
      </c>
      <c r="B18" s="20" t="s">
        <v>48</v>
      </c>
      <c r="C18" s="21" t="s">
        <v>42</v>
      </c>
      <c r="D18" s="22">
        <v>50</v>
      </c>
      <c r="E18" s="19" t="s">
        <v>46</v>
      </c>
      <c r="F18" s="18"/>
      <c r="G18" s="19" t="str">
        <f t="shared" si="0"/>
        <v>-</v>
      </c>
      <c r="H18" s="20" t="s">
        <v>48</v>
      </c>
      <c r="I18" s="20"/>
    </row>
    <row r="19" spans="1:9" x14ac:dyDescent="0.25">
      <c r="A19" s="14">
        <v>13</v>
      </c>
      <c r="B19" s="15" t="s">
        <v>148</v>
      </c>
      <c r="C19" s="16" t="s">
        <v>50</v>
      </c>
      <c r="D19" s="17">
        <v>1</v>
      </c>
      <c r="E19" s="14" t="s">
        <v>46</v>
      </c>
      <c r="F19" s="18"/>
      <c r="G19" s="14" t="str">
        <f t="shared" si="0"/>
        <v>-</v>
      </c>
      <c r="H19" s="15" t="s">
        <v>148</v>
      </c>
      <c r="I19" s="15"/>
    </row>
    <row r="20" spans="1:9" x14ac:dyDescent="0.25">
      <c r="A20" s="19">
        <v>14</v>
      </c>
      <c r="B20" s="20" t="s">
        <v>49</v>
      </c>
      <c r="C20" s="21" t="s">
        <v>50</v>
      </c>
      <c r="D20" s="22">
        <v>13</v>
      </c>
      <c r="E20" s="19" t="s">
        <v>43</v>
      </c>
      <c r="F20" s="18"/>
      <c r="G20" s="19" t="str">
        <f t="shared" si="0"/>
        <v>-</v>
      </c>
      <c r="H20" s="20" t="s">
        <v>149</v>
      </c>
      <c r="I20" s="20"/>
    </row>
    <row r="21" spans="1:9" x14ac:dyDescent="0.25">
      <c r="A21" s="14">
        <v>15</v>
      </c>
      <c r="B21" s="15" t="s">
        <v>150</v>
      </c>
      <c r="C21" s="16" t="s">
        <v>50</v>
      </c>
      <c r="D21" s="17">
        <v>14</v>
      </c>
      <c r="E21" s="14" t="s">
        <v>46</v>
      </c>
      <c r="F21" s="18"/>
      <c r="G21" s="14" t="str">
        <f t="shared" si="0"/>
        <v>-</v>
      </c>
      <c r="H21" s="15" t="s">
        <v>150</v>
      </c>
      <c r="I21" s="15"/>
    </row>
    <row r="22" spans="1:9" x14ac:dyDescent="0.25">
      <c r="A22" s="19">
        <v>16</v>
      </c>
      <c r="B22" s="20" t="s">
        <v>151</v>
      </c>
      <c r="C22" s="21" t="s">
        <v>50</v>
      </c>
      <c r="D22" s="22">
        <v>1</v>
      </c>
      <c r="E22" s="19" t="s">
        <v>46</v>
      </c>
      <c r="F22" s="18"/>
      <c r="G22" s="19" t="str">
        <f t="shared" si="0"/>
        <v>-</v>
      </c>
      <c r="H22" s="20" t="s">
        <v>151</v>
      </c>
      <c r="I22" s="20"/>
    </row>
    <row r="23" spans="1:9" x14ac:dyDescent="0.25">
      <c r="A23" s="14">
        <v>17</v>
      </c>
      <c r="B23" s="15" t="s">
        <v>152</v>
      </c>
      <c r="C23" s="16" t="s">
        <v>50</v>
      </c>
      <c r="D23" s="17">
        <v>5</v>
      </c>
      <c r="E23" s="14" t="s">
        <v>46</v>
      </c>
      <c r="F23" s="18"/>
      <c r="G23" s="14" t="str">
        <f t="shared" si="0"/>
        <v>-</v>
      </c>
      <c r="H23" s="15" t="s">
        <v>153</v>
      </c>
      <c r="I23" s="15"/>
    </row>
    <row r="24" spans="1:9" x14ac:dyDescent="0.25">
      <c r="A24" s="19">
        <v>18</v>
      </c>
      <c r="B24" s="20" t="s">
        <v>154</v>
      </c>
      <c r="C24" s="21" t="s">
        <v>50</v>
      </c>
      <c r="D24" s="22">
        <v>5</v>
      </c>
      <c r="E24" s="19" t="s">
        <v>46</v>
      </c>
      <c r="F24" s="18"/>
      <c r="G24" s="19" t="str">
        <f t="shared" si="0"/>
        <v>-</v>
      </c>
      <c r="H24" s="20" t="s">
        <v>155</v>
      </c>
      <c r="I24" s="20"/>
    </row>
    <row r="25" spans="1:9" x14ac:dyDescent="0.25">
      <c r="A25" s="14">
        <v>19</v>
      </c>
      <c r="B25" s="15" t="s">
        <v>156</v>
      </c>
      <c r="C25" s="16" t="s">
        <v>50</v>
      </c>
      <c r="D25" s="17">
        <v>12</v>
      </c>
      <c r="E25" s="14" t="s">
        <v>46</v>
      </c>
      <c r="F25" s="18"/>
      <c r="G25" s="14" t="str">
        <f t="shared" si="0"/>
        <v>-</v>
      </c>
      <c r="H25" s="15" t="s">
        <v>157</v>
      </c>
      <c r="I25" s="15"/>
    </row>
    <row r="26" spans="1:9" x14ac:dyDescent="0.25">
      <c r="A26" s="19">
        <v>20</v>
      </c>
      <c r="B26" s="20" t="s">
        <v>158</v>
      </c>
      <c r="C26" s="21" t="s">
        <v>50</v>
      </c>
      <c r="D26" s="22">
        <v>3</v>
      </c>
      <c r="E26" s="19" t="s">
        <v>46</v>
      </c>
      <c r="F26" s="18"/>
      <c r="G26" s="19" t="str">
        <f t="shared" si="0"/>
        <v>-</v>
      </c>
      <c r="H26" s="20" t="s">
        <v>158</v>
      </c>
      <c r="I26" s="20"/>
    </row>
    <row r="27" spans="1:9" x14ac:dyDescent="0.25">
      <c r="A27" s="14">
        <v>21</v>
      </c>
      <c r="B27" s="15" t="s">
        <v>81</v>
      </c>
      <c r="C27" s="16" t="s">
        <v>50</v>
      </c>
      <c r="D27" s="17">
        <v>20</v>
      </c>
      <c r="E27" s="14" t="s">
        <v>46</v>
      </c>
      <c r="F27" s="18"/>
      <c r="G27" s="14" t="str">
        <f t="shared" si="0"/>
        <v>-</v>
      </c>
      <c r="H27" s="15" t="s">
        <v>159</v>
      </c>
      <c r="I27" s="15"/>
    </row>
    <row r="28" spans="1:9" x14ac:dyDescent="0.25">
      <c r="A28" s="19">
        <v>22</v>
      </c>
      <c r="B28" s="20" t="s">
        <v>160</v>
      </c>
      <c r="C28" s="21" t="s">
        <v>70</v>
      </c>
      <c r="D28" s="22">
        <v>9</v>
      </c>
      <c r="E28" s="19" t="s">
        <v>71</v>
      </c>
      <c r="F28" s="18"/>
      <c r="G28" s="19" t="str">
        <f t="shared" si="0"/>
        <v>-</v>
      </c>
      <c r="H28" s="20" t="s">
        <v>160</v>
      </c>
      <c r="I28" s="20"/>
    </row>
    <row r="29" spans="1:9" x14ac:dyDescent="0.25">
      <c r="A29" s="14">
        <v>23</v>
      </c>
      <c r="B29" s="15" t="s">
        <v>161</v>
      </c>
      <c r="C29" s="16" t="s">
        <v>50</v>
      </c>
      <c r="D29" s="17">
        <v>11</v>
      </c>
      <c r="E29" s="14" t="s">
        <v>46</v>
      </c>
      <c r="F29" s="18"/>
      <c r="G29" s="14" t="str">
        <f t="shared" si="0"/>
        <v>-</v>
      </c>
      <c r="H29" s="15" t="s">
        <v>161</v>
      </c>
      <c r="I29" s="15"/>
    </row>
    <row r="30" spans="1:9" x14ac:dyDescent="0.25">
      <c r="A30" s="19">
        <v>24</v>
      </c>
      <c r="B30" s="20" t="s">
        <v>162</v>
      </c>
      <c r="C30" s="21" t="s">
        <v>50</v>
      </c>
      <c r="D30" s="22">
        <v>5</v>
      </c>
      <c r="E30" s="19" t="s">
        <v>46</v>
      </c>
      <c r="F30" s="18"/>
      <c r="G30" s="19" t="str">
        <f t="shared" si="0"/>
        <v>-</v>
      </c>
      <c r="H30" s="20" t="s">
        <v>163</v>
      </c>
      <c r="I30" s="20"/>
    </row>
    <row r="31" spans="1:9" x14ac:dyDescent="0.25">
      <c r="A31" s="14">
        <v>25</v>
      </c>
      <c r="B31" s="15" t="s">
        <v>164</v>
      </c>
      <c r="C31" s="16" t="s">
        <v>50</v>
      </c>
      <c r="D31" s="17">
        <v>1</v>
      </c>
      <c r="E31" s="14" t="s">
        <v>46</v>
      </c>
      <c r="F31" s="18"/>
      <c r="G31" s="14" t="str">
        <f t="shared" si="0"/>
        <v>-</v>
      </c>
      <c r="H31" s="15" t="s">
        <v>165</v>
      </c>
      <c r="I31" s="15"/>
    </row>
    <row r="32" spans="1:9" ht="25.5" x14ac:dyDescent="0.25">
      <c r="A32" s="23">
        <v>26</v>
      </c>
      <c r="B32" s="24" t="s">
        <v>166</v>
      </c>
      <c r="C32" s="25" t="s">
        <v>50</v>
      </c>
      <c r="D32" s="26">
        <v>1</v>
      </c>
      <c r="E32" s="23" t="s">
        <v>46</v>
      </c>
      <c r="F32" s="18"/>
      <c r="G32" s="23" t="str">
        <f t="shared" si="0"/>
        <v>-</v>
      </c>
      <c r="H32" s="24" t="s">
        <v>166</v>
      </c>
      <c r="I32" s="24" t="s">
        <v>167</v>
      </c>
    </row>
    <row r="33" spans="1:9" x14ac:dyDescent="0.25">
      <c r="A33" s="14">
        <v>27</v>
      </c>
      <c r="B33" s="15" t="s">
        <v>168</v>
      </c>
      <c r="C33" s="16" t="s">
        <v>50</v>
      </c>
      <c r="D33" s="17">
        <v>3</v>
      </c>
      <c r="E33" s="14" t="s">
        <v>46</v>
      </c>
      <c r="F33" s="18"/>
      <c r="G33" s="14" t="str">
        <f t="shared" si="0"/>
        <v>-</v>
      </c>
      <c r="H33" s="15" t="s">
        <v>168</v>
      </c>
      <c r="I33" s="15"/>
    </row>
    <row r="34" spans="1:9" x14ac:dyDescent="0.25">
      <c r="A34" s="19">
        <v>28</v>
      </c>
      <c r="B34" s="20" t="s">
        <v>169</v>
      </c>
      <c r="C34" s="21" t="s">
        <v>50</v>
      </c>
      <c r="D34" s="22">
        <v>6</v>
      </c>
      <c r="E34" s="19" t="s">
        <v>46</v>
      </c>
      <c r="F34" s="18"/>
      <c r="G34" s="19" t="str">
        <f t="shared" si="0"/>
        <v>-</v>
      </c>
      <c r="H34" s="20" t="s">
        <v>169</v>
      </c>
      <c r="I34" s="20"/>
    </row>
    <row r="35" spans="1:9" x14ac:dyDescent="0.25">
      <c r="A35" s="14">
        <v>29</v>
      </c>
      <c r="B35" s="15" t="s">
        <v>170</v>
      </c>
      <c r="C35" s="16" t="s">
        <v>56</v>
      </c>
      <c r="D35" s="17">
        <v>300</v>
      </c>
      <c r="E35" s="14" t="s">
        <v>46</v>
      </c>
      <c r="F35" s="18"/>
      <c r="G35" s="14" t="str">
        <f t="shared" si="0"/>
        <v>-</v>
      </c>
      <c r="H35" s="15" t="s">
        <v>170</v>
      </c>
      <c r="I35" s="15"/>
    </row>
    <row r="36" spans="1:9" x14ac:dyDescent="0.25">
      <c r="A36" s="19">
        <v>30</v>
      </c>
      <c r="B36" s="20" t="s">
        <v>171</v>
      </c>
      <c r="C36" s="21" t="s">
        <v>56</v>
      </c>
      <c r="D36" s="22">
        <v>50</v>
      </c>
      <c r="E36" s="19" t="s">
        <v>172</v>
      </c>
      <c r="F36" s="18"/>
      <c r="G36" s="19" t="str">
        <f t="shared" si="0"/>
        <v>-</v>
      </c>
      <c r="H36" s="20" t="s">
        <v>173</v>
      </c>
      <c r="I36" s="20"/>
    </row>
    <row r="37" spans="1:9" x14ac:dyDescent="0.25">
      <c r="A37" s="14">
        <v>31</v>
      </c>
      <c r="B37" s="15" t="s">
        <v>63</v>
      </c>
      <c r="C37" s="16" t="s">
        <v>56</v>
      </c>
      <c r="D37" s="17">
        <v>100</v>
      </c>
      <c r="E37" s="14" t="s">
        <v>46</v>
      </c>
      <c r="F37" s="18"/>
      <c r="G37" s="14" t="str">
        <f t="shared" si="0"/>
        <v>-</v>
      </c>
      <c r="H37" s="15" t="s">
        <v>63</v>
      </c>
      <c r="I37" s="15"/>
    </row>
    <row r="38" spans="1:9" x14ac:dyDescent="0.25">
      <c r="A38" s="19">
        <v>32</v>
      </c>
      <c r="B38" s="20" t="s">
        <v>55</v>
      </c>
      <c r="C38" s="21" t="s">
        <v>56</v>
      </c>
      <c r="D38" s="22">
        <v>3</v>
      </c>
      <c r="E38" s="19" t="s">
        <v>174</v>
      </c>
      <c r="F38" s="18"/>
      <c r="G38" s="19" t="str">
        <f t="shared" si="0"/>
        <v>-</v>
      </c>
      <c r="H38" s="20" t="s">
        <v>175</v>
      </c>
      <c r="I38" s="20"/>
    </row>
    <row r="39" spans="1:9" x14ac:dyDescent="0.25">
      <c r="A39" s="14">
        <v>33</v>
      </c>
      <c r="B39" s="15" t="s">
        <v>176</v>
      </c>
      <c r="C39" s="16" t="s">
        <v>56</v>
      </c>
      <c r="D39" s="17">
        <v>300</v>
      </c>
      <c r="E39" s="14" t="s">
        <v>46</v>
      </c>
      <c r="F39" s="18"/>
      <c r="G39" s="14" t="str">
        <f t="shared" si="0"/>
        <v>-</v>
      </c>
      <c r="H39" s="15" t="s">
        <v>177</v>
      </c>
      <c r="I39" s="15"/>
    </row>
    <row r="40" spans="1:9" x14ac:dyDescent="0.25">
      <c r="A40" s="19">
        <v>34</v>
      </c>
      <c r="B40" s="20" t="s">
        <v>178</v>
      </c>
      <c r="C40" s="21" t="s">
        <v>67</v>
      </c>
      <c r="D40" s="22">
        <v>14</v>
      </c>
      <c r="E40" s="19" t="s">
        <v>46</v>
      </c>
      <c r="F40" s="18"/>
      <c r="G40" s="19" t="str">
        <f t="shared" si="0"/>
        <v>-</v>
      </c>
      <c r="H40" s="20" t="s">
        <v>179</v>
      </c>
      <c r="I40" s="20"/>
    </row>
    <row r="41" spans="1:9" x14ac:dyDescent="0.25">
      <c r="A41" s="14">
        <v>35</v>
      </c>
      <c r="B41" s="15" t="s">
        <v>180</v>
      </c>
      <c r="C41" s="16" t="s">
        <v>67</v>
      </c>
      <c r="D41" s="17">
        <v>28</v>
      </c>
      <c r="E41" s="14" t="s">
        <v>46</v>
      </c>
      <c r="F41" s="18"/>
      <c r="G41" s="14" t="str">
        <f t="shared" si="0"/>
        <v>-</v>
      </c>
      <c r="H41" s="15" t="s">
        <v>181</v>
      </c>
      <c r="I41" s="15"/>
    </row>
    <row r="42" spans="1:9" x14ac:dyDescent="0.25">
      <c r="A42" s="19">
        <v>36</v>
      </c>
      <c r="B42" s="20" t="s">
        <v>182</v>
      </c>
      <c r="C42" s="21" t="s">
        <v>67</v>
      </c>
      <c r="D42" s="22">
        <v>56</v>
      </c>
      <c r="E42" s="19" t="s">
        <v>46</v>
      </c>
      <c r="F42" s="18"/>
      <c r="G42" s="19" t="str">
        <f t="shared" si="0"/>
        <v>-</v>
      </c>
      <c r="H42" s="20" t="s">
        <v>183</v>
      </c>
      <c r="I42" s="20"/>
    </row>
    <row r="43" spans="1:9" x14ac:dyDescent="0.25">
      <c r="A43" s="14">
        <v>37</v>
      </c>
      <c r="B43" s="15" t="s">
        <v>184</v>
      </c>
      <c r="C43" s="16" t="s">
        <v>185</v>
      </c>
      <c r="D43" s="17">
        <v>5</v>
      </c>
      <c r="E43" s="14" t="s">
        <v>186</v>
      </c>
      <c r="F43" s="18"/>
      <c r="G43" s="14" t="str">
        <f t="shared" si="0"/>
        <v>-</v>
      </c>
      <c r="H43" s="15" t="s">
        <v>187</v>
      </c>
      <c r="I43" s="15"/>
    </row>
    <row r="44" spans="1:9" ht="25.5" x14ac:dyDescent="0.25">
      <c r="A44" s="23">
        <v>38</v>
      </c>
      <c r="B44" s="24" t="s">
        <v>188</v>
      </c>
      <c r="C44" s="25" t="s">
        <v>67</v>
      </c>
      <c r="D44" s="26">
        <v>83</v>
      </c>
      <c r="E44" s="23" t="s">
        <v>189</v>
      </c>
      <c r="F44" s="18"/>
      <c r="G44" s="29" t="s">
        <v>190</v>
      </c>
      <c r="H44" s="24" t="s">
        <v>191</v>
      </c>
      <c r="I44" s="24" t="s">
        <v>192</v>
      </c>
    </row>
    <row r="45" spans="1:9" x14ac:dyDescent="0.25">
      <c r="A45" s="14">
        <v>39</v>
      </c>
      <c r="B45" s="15" t="s">
        <v>193</v>
      </c>
      <c r="C45" s="16" t="s">
        <v>67</v>
      </c>
      <c r="D45" s="17">
        <v>6</v>
      </c>
      <c r="E45" s="14" t="s">
        <v>189</v>
      </c>
      <c r="F45" s="18"/>
      <c r="G45" s="14" t="str">
        <f>IF(F45="","-",IF(D45&lt;=F45,"REORDER","OK"))</f>
        <v>-</v>
      </c>
      <c r="H45" s="15" t="s">
        <v>194</v>
      </c>
      <c r="I45" s="15"/>
    </row>
    <row r="46" spans="1:9" x14ac:dyDescent="0.25">
      <c r="A46" s="19">
        <v>40</v>
      </c>
      <c r="B46" s="20" t="s">
        <v>195</v>
      </c>
      <c r="C46" s="21" t="s">
        <v>196</v>
      </c>
      <c r="D46" s="22">
        <v>1</v>
      </c>
      <c r="E46" s="19" t="s">
        <v>46</v>
      </c>
      <c r="F46" s="18"/>
      <c r="G46" s="19" t="str">
        <f>IF(F46="","-",IF(D46&lt;=F46,"REORDER","OK"))</f>
        <v>-</v>
      </c>
      <c r="H46" s="20" t="s">
        <v>197</v>
      </c>
      <c r="I46" s="20"/>
    </row>
    <row r="47" spans="1:9" x14ac:dyDescent="0.25">
      <c r="A47" s="23">
        <v>41</v>
      </c>
      <c r="B47" s="24" t="s">
        <v>198</v>
      </c>
      <c r="C47" s="25" t="s">
        <v>196</v>
      </c>
      <c r="D47" s="26">
        <v>2</v>
      </c>
      <c r="E47" s="23" t="s">
        <v>46</v>
      </c>
      <c r="F47" s="18"/>
      <c r="G47" s="23" t="str">
        <f>IF(F47="","-",IF(D47&lt;=F47,"REORDER","OK"))</f>
        <v>-</v>
      </c>
      <c r="H47" s="24" t="s">
        <v>199</v>
      </c>
      <c r="I47" s="24" t="s">
        <v>200</v>
      </c>
    </row>
    <row r="48" spans="1:9" x14ac:dyDescent="0.25">
      <c r="B48" s="27" t="s">
        <v>83</v>
      </c>
      <c r="D48" s="27">
        <f>COUNTA(B7:B47)</f>
        <v>41</v>
      </c>
    </row>
    <row r="49" spans="2:8" x14ac:dyDescent="0.25">
      <c r="B49" s="27" t="s">
        <v>84</v>
      </c>
      <c r="D49" s="28">
        <f>COUNTIF(G7:G47,"REORDER")</f>
        <v>0</v>
      </c>
    </row>
    <row r="51" spans="2:8" x14ac:dyDescent="0.25">
      <c r="B51" s="10" t="s">
        <v>85</v>
      </c>
      <c r="H51" s="10" t="s">
        <v>86</v>
      </c>
    </row>
  </sheetData>
  <autoFilter ref="A6:I47" xr:uid="{00000000-0009-0000-0000-000003000000}"/>
  <mergeCells count="2">
    <mergeCell ref="A1:I1"/>
    <mergeCell ref="A2:I2"/>
  </mergeCells>
  <conditionalFormatting sqref="G7:G47">
    <cfRule type="expression" dxfId="1" priority="1">
      <formula>G7="REORDER"</formula>
    </cfRule>
    <cfRule type="expression" dxfId="0" priority="2">
      <formula>G7="OK"</formula>
    </cfRule>
  </conditionalFormatting>
  <printOptions horizontalCentered="1"/>
  <pageMargins left="0.4" right="0.4" top="1" bottom="1" header="0.5" footer="0.5"/>
  <pageSetup paperSize="9" fitToHeight="0" orientation="landscape"/>
  <headerFooter>
    <oddFooter>&amp;CHotel Sky 5 - Inventory  | 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75"/>
  <sheetViews>
    <sheetView workbookViewId="0">
      <pane ySplit="5" topLeftCell="A6" activePane="bottomLeft" state="frozen"/>
      <selection pane="bottomLeft"/>
    </sheetView>
  </sheetViews>
  <sheetFormatPr defaultRowHeight="15" x14ac:dyDescent="0.25"/>
  <cols>
    <col min="1" max="1" width="8" customWidth="1"/>
    <col min="2" max="2" width="34" customWidth="1"/>
    <col min="3" max="3" width="24" customWidth="1"/>
    <col min="4" max="4" width="9" customWidth="1"/>
    <col min="5" max="5" width="16" customWidth="1"/>
    <col min="6" max="6" width="14" customWidth="1"/>
    <col min="7" max="7" width="18" customWidth="1"/>
    <col min="8" max="8" width="11" customWidth="1"/>
  </cols>
  <sheetData>
    <row r="1" spans="1:8" ht="24" customHeight="1" x14ac:dyDescent="0.3">
      <c r="A1" s="37" t="s">
        <v>201</v>
      </c>
      <c r="B1" s="35"/>
      <c r="C1" s="35"/>
      <c r="D1" s="35"/>
      <c r="E1" s="35"/>
      <c r="F1" s="35"/>
      <c r="G1" s="35"/>
      <c r="H1" s="35"/>
    </row>
    <row r="2" spans="1:8" x14ac:dyDescent="0.25">
      <c r="A2" s="34" t="s">
        <v>202</v>
      </c>
      <c r="B2" s="35"/>
      <c r="C2" s="35"/>
      <c r="D2" s="35"/>
      <c r="E2" s="35"/>
      <c r="F2" s="35"/>
      <c r="G2" s="35"/>
      <c r="H2" s="35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5" spans="1:8" ht="30" customHeight="1" x14ac:dyDescent="0.25">
      <c r="A5" s="13" t="s">
        <v>32</v>
      </c>
      <c r="B5" s="13" t="s">
        <v>33</v>
      </c>
      <c r="C5" s="13" t="s">
        <v>34</v>
      </c>
      <c r="D5" s="13" t="s">
        <v>36</v>
      </c>
      <c r="E5" s="13" t="s">
        <v>203</v>
      </c>
      <c r="F5" s="13" t="s">
        <v>204</v>
      </c>
      <c r="G5" s="13" t="s">
        <v>205</v>
      </c>
      <c r="H5" s="13" t="s">
        <v>206</v>
      </c>
    </row>
    <row r="6" spans="1:8" x14ac:dyDescent="0.25">
      <c r="A6" s="14">
        <v>1</v>
      </c>
      <c r="B6" s="16" t="s">
        <v>193</v>
      </c>
      <c r="C6" s="16" t="s">
        <v>67</v>
      </c>
      <c r="D6" s="14" t="s">
        <v>189</v>
      </c>
      <c r="E6" s="30">
        <f>SUMIFS('Inventory Stock'!$D$7:$D$24,'Inventory Stock'!$B$7:$B$24,$B6,'Inventory Stock'!$E$7:$E$24,$D6)</f>
        <v>0</v>
      </c>
      <c r="F6" s="30">
        <f>SUMIFS('Crockery &amp; Serveware'!$D$7:$D$26,'Crockery &amp; Serveware'!$B$7:$B$26,$B6,'Crockery &amp; Serveware'!$E$7:$E$26,$D6)</f>
        <v>0</v>
      </c>
      <c r="G6" s="30">
        <f>SUMIFS('Basement Store'!$D$7:$D$47,'Basement Store'!$B$7:$B$47,$B6,'Basement Store'!$E$7:$E$47,$D6)</f>
        <v>6</v>
      </c>
      <c r="H6" s="31">
        <f t="shared" ref="H6:H37" si="0">SUM(E6:G6)</f>
        <v>6</v>
      </c>
    </row>
    <row r="7" spans="1:8" x14ac:dyDescent="0.25">
      <c r="A7" s="19">
        <v>2</v>
      </c>
      <c r="B7" s="21" t="s">
        <v>180</v>
      </c>
      <c r="C7" s="21" t="s">
        <v>67</v>
      </c>
      <c r="D7" s="19" t="s">
        <v>46</v>
      </c>
      <c r="E7" s="32">
        <f>SUMIFS('Inventory Stock'!$D$7:$D$24,'Inventory Stock'!$B$7:$B$24,$B7,'Inventory Stock'!$E$7:$E$24,$D7)</f>
        <v>0</v>
      </c>
      <c r="F7" s="32">
        <f>SUMIFS('Crockery &amp; Serveware'!$D$7:$D$26,'Crockery &amp; Serveware'!$B$7:$B$26,$B7,'Crockery &amp; Serveware'!$E$7:$E$26,$D7)</f>
        <v>0</v>
      </c>
      <c r="G7" s="32">
        <f>SUMIFS('Basement Store'!$D$7:$D$47,'Basement Store'!$B$7:$B$47,$B7,'Basement Store'!$E$7:$E$47,$D7)</f>
        <v>28</v>
      </c>
      <c r="H7" s="33">
        <f t="shared" si="0"/>
        <v>28</v>
      </c>
    </row>
    <row r="8" spans="1:8" x14ac:dyDescent="0.25">
      <c r="A8" s="14">
        <v>3</v>
      </c>
      <c r="B8" s="16" t="s">
        <v>182</v>
      </c>
      <c r="C8" s="16" t="s">
        <v>67</v>
      </c>
      <c r="D8" s="14" t="s">
        <v>46</v>
      </c>
      <c r="E8" s="30">
        <f>SUMIFS('Inventory Stock'!$D$7:$D$24,'Inventory Stock'!$B$7:$B$24,$B8,'Inventory Stock'!$E$7:$E$24,$D8)</f>
        <v>0</v>
      </c>
      <c r="F8" s="30">
        <f>SUMIFS('Crockery &amp; Serveware'!$D$7:$D$26,'Crockery &amp; Serveware'!$B$7:$B$26,$B8,'Crockery &amp; Serveware'!$E$7:$E$26,$D8)</f>
        <v>0</v>
      </c>
      <c r="G8" s="30">
        <f>SUMIFS('Basement Store'!$D$7:$D$47,'Basement Store'!$B$7:$B$47,$B8,'Basement Store'!$E$7:$E$47,$D8)</f>
        <v>56</v>
      </c>
      <c r="H8" s="31">
        <f t="shared" si="0"/>
        <v>56</v>
      </c>
    </row>
    <row r="9" spans="1:8" x14ac:dyDescent="0.25">
      <c r="A9" s="19">
        <v>4</v>
      </c>
      <c r="B9" s="21" t="s">
        <v>66</v>
      </c>
      <c r="C9" s="21" t="s">
        <v>67</v>
      </c>
      <c r="D9" s="19" t="s">
        <v>46</v>
      </c>
      <c r="E9" s="32">
        <f>SUMIFS('Inventory Stock'!$D$7:$D$24,'Inventory Stock'!$B$7:$B$24,$B9,'Inventory Stock'!$E$7:$E$24,$D9)</f>
        <v>12</v>
      </c>
      <c r="F9" s="32">
        <f>SUMIFS('Crockery &amp; Serveware'!$D$7:$D$26,'Crockery &amp; Serveware'!$B$7:$B$26,$B9,'Crockery &amp; Serveware'!$E$7:$E$26,$D9)</f>
        <v>0</v>
      </c>
      <c r="G9" s="32">
        <f>SUMIFS('Basement Store'!$D$7:$D$47,'Basement Store'!$B$7:$B$47,$B9,'Basement Store'!$E$7:$E$47,$D9)</f>
        <v>0</v>
      </c>
      <c r="H9" s="33">
        <f t="shared" si="0"/>
        <v>12</v>
      </c>
    </row>
    <row r="10" spans="1:8" x14ac:dyDescent="0.25">
      <c r="A10" s="14">
        <v>5</v>
      </c>
      <c r="B10" s="16" t="s">
        <v>178</v>
      </c>
      <c r="C10" s="16" t="s">
        <v>67</v>
      </c>
      <c r="D10" s="14" t="s">
        <v>46</v>
      </c>
      <c r="E10" s="30">
        <f>SUMIFS('Inventory Stock'!$D$7:$D$24,'Inventory Stock'!$B$7:$B$24,$B10,'Inventory Stock'!$E$7:$E$24,$D10)</f>
        <v>0</v>
      </c>
      <c r="F10" s="30">
        <f>SUMIFS('Crockery &amp; Serveware'!$D$7:$D$26,'Crockery &amp; Serveware'!$B$7:$B$26,$B10,'Crockery &amp; Serveware'!$E$7:$E$26,$D10)</f>
        <v>0</v>
      </c>
      <c r="G10" s="30">
        <f>SUMIFS('Basement Store'!$D$7:$D$47,'Basement Store'!$B$7:$B$47,$B10,'Basement Store'!$E$7:$E$47,$D10)</f>
        <v>14</v>
      </c>
      <c r="H10" s="31">
        <f t="shared" si="0"/>
        <v>14</v>
      </c>
    </row>
    <row r="11" spans="1:8" x14ac:dyDescent="0.25">
      <c r="A11" s="19">
        <v>6</v>
      </c>
      <c r="B11" s="21" t="s">
        <v>188</v>
      </c>
      <c r="C11" s="21" t="s">
        <v>67</v>
      </c>
      <c r="D11" s="19" t="s">
        <v>189</v>
      </c>
      <c r="E11" s="32">
        <f>SUMIFS('Inventory Stock'!$D$7:$D$24,'Inventory Stock'!$B$7:$B$24,$B11,'Inventory Stock'!$E$7:$E$24,$D11)</f>
        <v>0</v>
      </c>
      <c r="F11" s="32">
        <f>SUMIFS('Crockery &amp; Serveware'!$D$7:$D$26,'Crockery &amp; Serveware'!$B$7:$B$26,$B11,'Crockery &amp; Serveware'!$E$7:$E$26,$D11)</f>
        <v>0</v>
      </c>
      <c r="G11" s="32">
        <f>SUMIFS('Basement Store'!$D$7:$D$47,'Basement Store'!$B$7:$B$47,$B11,'Basement Store'!$E$7:$E$47,$D11)</f>
        <v>83</v>
      </c>
      <c r="H11" s="33">
        <f t="shared" si="0"/>
        <v>83</v>
      </c>
    </row>
    <row r="12" spans="1:8" x14ac:dyDescent="0.25">
      <c r="A12" s="14">
        <v>7</v>
      </c>
      <c r="B12" s="16" t="s">
        <v>146</v>
      </c>
      <c r="C12" s="16" t="s">
        <v>70</v>
      </c>
      <c r="D12" s="14" t="s">
        <v>71</v>
      </c>
      <c r="E12" s="30">
        <f>SUMIFS('Inventory Stock'!$D$7:$D$24,'Inventory Stock'!$B$7:$B$24,$B12,'Inventory Stock'!$E$7:$E$24,$D12)</f>
        <v>0</v>
      </c>
      <c r="F12" s="30">
        <f>SUMIFS('Crockery &amp; Serveware'!$D$7:$D$26,'Crockery &amp; Serveware'!$B$7:$B$26,$B12,'Crockery &amp; Serveware'!$E$7:$E$26,$D12)</f>
        <v>0</v>
      </c>
      <c r="G12" s="30">
        <f>SUMIFS('Basement Store'!$D$7:$D$47,'Basement Store'!$B$7:$B$47,$B12,'Basement Store'!$E$7:$E$47,$D12)</f>
        <v>5</v>
      </c>
      <c r="H12" s="31">
        <f t="shared" si="0"/>
        <v>5</v>
      </c>
    </row>
    <row r="13" spans="1:8" x14ac:dyDescent="0.25">
      <c r="A13" s="19">
        <v>8</v>
      </c>
      <c r="B13" s="21" t="s">
        <v>75</v>
      </c>
      <c r="C13" s="21" t="s">
        <v>70</v>
      </c>
      <c r="D13" s="19" t="s">
        <v>71</v>
      </c>
      <c r="E13" s="32">
        <f>SUMIFS('Inventory Stock'!$D$7:$D$24,'Inventory Stock'!$B$7:$B$24,$B13,'Inventory Stock'!$E$7:$E$24,$D13)</f>
        <v>5</v>
      </c>
      <c r="F13" s="32">
        <f>SUMIFS('Crockery &amp; Serveware'!$D$7:$D$26,'Crockery &amp; Serveware'!$B$7:$B$26,$B13,'Crockery &amp; Serveware'!$E$7:$E$26,$D13)</f>
        <v>0</v>
      </c>
      <c r="G13" s="32">
        <f>SUMIFS('Basement Store'!$D$7:$D$47,'Basement Store'!$B$7:$B$47,$B13,'Basement Store'!$E$7:$E$47,$D13)</f>
        <v>0</v>
      </c>
      <c r="H13" s="33">
        <f t="shared" si="0"/>
        <v>5</v>
      </c>
    </row>
    <row r="14" spans="1:8" x14ac:dyDescent="0.25">
      <c r="A14" s="14">
        <v>9</v>
      </c>
      <c r="B14" s="16" t="s">
        <v>75</v>
      </c>
      <c r="C14" s="16" t="s">
        <v>70</v>
      </c>
      <c r="D14" s="14" t="s">
        <v>134</v>
      </c>
      <c r="E14" s="30">
        <f>SUMIFS('Inventory Stock'!$D$7:$D$24,'Inventory Stock'!$B$7:$B$24,$B14,'Inventory Stock'!$E$7:$E$24,$D14)</f>
        <v>0</v>
      </c>
      <c r="F14" s="30">
        <f>SUMIFS('Crockery &amp; Serveware'!$D$7:$D$26,'Crockery &amp; Serveware'!$B$7:$B$26,$B14,'Crockery &amp; Serveware'!$E$7:$E$26,$D14)</f>
        <v>0</v>
      </c>
      <c r="G14" s="30">
        <f>SUMIFS('Basement Store'!$D$7:$D$47,'Basement Store'!$B$7:$B$47,$B14,'Basement Store'!$E$7:$E$47,$D14)</f>
        <v>4</v>
      </c>
      <c r="H14" s="31">
        <f t="shared" si="0"/>
        <v>4</v>
      </c>
    </row>
    <row r="15" spans="1:8" x14ac:dyDescent="0.25">
      <c r="A15" s="19">
        <v>10</v>
      </c>
      <c r="B15" s="21" t="s">
        <v>142</v>
      </c>
      <c r="C15" s="21" t="s">
        <v>70</v>
      </c>
      <c r="D15" s="19" t="s">
        <v>71</v>
      </c>
      <c r="E15" s="32">
        <f>SUMIFS('Inventory Stock'!$D$7:$D$24,'Inventory Stock'!$B$7:$B$24,$B15,'Inventory Stock'!$E$7:$E$24,$D15)</f>
        <v>0</v>
      </c>
      <c r="F15" s="32">
        <f>SUMIFS('Crockery &amp; Serveware'!$D$7:$D$26,'Crockery &amp; Serveware'!$B$7:$B$26,$B15,'Crockery &amp; Serveware'!$E$7:$E$26,$D15)</f>
        <v>0</v>
      </c>
      <c r="G15" s="32">
        <f>SUMIFS('Basement Store'!$D$7:$D$47,'Basement Store'!$B$7:$B$47,$B15,'Basement Store'!$E$7:$E$47,$D15)</f>
        <v>5</v>
      </c>
      <c r="H15" s="33">
        <f t="shared" si="0"/>
        <v>5</v>
      </c>
    </row>
    <row r="16" spans="1:8" x14ac:dyDescent="0.25">
      <c r="A16" s="14">
        <v>11</v>
      </c>
      <c r="B16" s="16" t="s">
        <v>74</v>
      </c>
      <c r="C16" s="16" t="s">
        <v>70</v>
      </c>
      <c r="D16" s="14" t="s">
        <v>71</v>
      </c>
      <c r="E16" s="30">
        <f>SUMIFS('Inventory Stock'!$D$7:$D$24,'Inventory Stock'!$B$7:$B$24,$B16,'Inventory Stock'!$E$7:$E$24,$D16)</f>
        <v>2</v>
      </c>
      <c r="F16" s="30">
        <f>SUMIFS('Crockery &amp; Serveware'!$D$7:$D$26,'Crockery &amp; Serveware'!$B$7:$B$26,$B16,'Crockery &amp; Serveware'!$E$7:$E$26,$D16)</f>
        <v>0</v>
      </c>
      <c r="G16" s="30">
        <f>SUMIFS('Basement Store'!$D$7:$D$47,'Basement Store'!$B$7:$B$47,$B16,'Basement Store'!$E$7:$E$47,$D16)</f>
        <v>5</v>
      </c>
      <c r="H16" s="31">
        <f t="shared" si="0"/>
        <v>7</v>
      </c>
    </row>
    <row r="17" spans="1:8" x14ac:dyDescent="0.25">
      <c r="A17" s="19">
        <v>12</v>
      </c>
      <c r="B17" s="21" t="s">
        <v>160</v>
      </c>
      <c r="C17" s="21" t="s">
        <v>70</v>
      </c>
      <c r="D17" s="19" t="s">
        <v>71</v>
      </c>
      <c r="E17" s="32">
        <f>SUMIFS('Inventory Stock'!$D$7:$D$24,'Inventory Stock'!$B$7:$B$24,$B17,'Inventory Stock'!$E$7:$E$24,$D17)</f>
        <v>0</v>
      </c>
      <c r="F17" s="32">
        <f>SUMIFS('Crockery &amp; Serveware'!$D$7:$D$26,'Crockery &amp; Serveware'!$B$7:$B$26,$B17,'Crockery &amp; Serveware'!$E$7:$E$26,$D17)</f>
        <v>0</v>
      </c>
      <c r="G17" s="32">
        <f>SUMIFS('Basement Store'!$D$7:$D$47,'Basement Store'!$B$7:$B$47,$B17,'Basement Store'!$E$7:$E$47,$D17)</f>
        <v>9</v>
      </c>
      <c r="H17" s="33">
        <f t="shared" si="0"/>
        <v>9</v>
      </c>
    </row>
    <row r="18" spans="1:8" x14ac:dyDescent="0.25">
      <c r="A18" s="14">
        <v>13</v>
      </c>
      <c r="B18" s="16" t="s">
        <v>72</v>
      </c>
      <c r="C18" s="16" t="s">
        <v>70</v>
      </c>
      <c r="D18" s="14" t="s">
        <v>71</v>
      </c>
      <c r="E18" s="30">
        <f>SUMIFS('Inventory Stock'!$D$7:$D$24,'Inventory Stock'!$B$7:$B$24,$B18,'Inventory Stock'!$E$7:$E$24,$D18)</f>
        <v>4.5</v>
      </c>
      <c r="F18" s="30">
        <f>SUMIFS('Crockery &amp; Serveware'!$D$7:$D$26,'Crockery &amp; Serveware'!$B$7:$B$26,$B18,'Crockery &amp; Serveware'!$E$7:$E$26,$D18)</f>
        <v>0</v>
      </c>
      <c r="G18" s="30">
        <f>SUMIFS('Basement Store'!$D$7:$D$47,'Basement Store'!$B$7:$B$47,$B18,'Basement Store'!$E$7:$E$47,$D18)</f>
        <v>0</v>
      </c>
      <c r="H18" s="31">
        <f t="shared" si="0"/>
        <v>4.5</v>
      </c>
    </row>
    <row r="19" spans="1:8" x14ac:dyDescent="0.25">
      <c r="A19" s="19">
        <v>14</v>
      </c>
      <c r="B19" s="21" t="s">
        <v>144</v>
      </c>
      <c r="C19" s="21" t="s">
        <v>70</v>
      </c>
      <c r="D19" s="19" t="s">
        <v>71</v>
      </c>
      <c r="E19" s="32">
        <f>SUMIFS('Inventory Stock'!$D$7:$D$24,'Inventory Stock'!$B$7:$B$24,$B19,'Inventory Stock'!$E$7:$E$24,$D19)</f>
        <v>0</v>
      </c>
      <c r="F19" s="32">
        <f>SUMIFS('Crockery &amp; Serveware'!$D$7:$D$26,'Crockery &amp; Serveware'!$B$7:$B$26,$B19,'Crockery &amp; Serveware'!$E$7:$E$26,$D19)</f>
        <v>0</v>
      </c>
      <c r="G19" s="32">
        <f>SUMIFS('Basement Store'!$D$7:$D$47,'Basement Store'!$B$7:$B$47,$B19,'Basement Store'!$E$7:$E$47,$D19)</f>
        <v>5</v>
      </c>
      <c r="H19" s="33">
        <f t="shared" si="0"/>
        <v>5</v>
      </c>
    </row>
    <row r="20" spans="1:8" x14ac:dyDescent="0.25">
      <c r="A20" s="14">
        <v>15</v>
      </c>
      <c r="B20" s="16" t="s">
        <v>69</v>
      </c>
      <c r="C20" s="16" t="s">
        <v>70</v>
      </c>
      <c r="D20" s="14" t="s">
        <v>71</v>
      </c>
      <c r="E20" s="30">
        <f>SUMIFS('Inventory Stock'!$D$7:$D$24,'Inventory Stock'!$B$7:$B$24,$B20,'Inventory Stock'!$E$7:$E$24,$D20)</f>
        <v>3</v>
      </c>
      <c r="F20" s="30">
        <f>SUMIFS('Crockery &amp; Serveware'!$D$7:$D$26,'Crockery &amp; Serveware'!$B$7:$B$26,$B20,'Crockery &amp; Serveware'!$E$7:$E$26,$D20)</f>
        <v>0</v>
      </c>
      <c r="G20" s="30">
        <f>SUMIFS('Basement Store'!$D$7:$D$47,'Basement Store'!$B$7:$B$47,$B20,'Basement Store'!$E$7:$E$47,$D20)</f>
        <v>5</v>
      </c>
      <c r="H20" s="31">
        <f t="shared" si="0"/>
        <v>8</v>
      </c>
    </row>
    <row r="21" spans="1:8" x14ac:dyDescent="0.25">
      <c r="A21" s="19">
        <v>16</v>
      </c>
      <c r="B21" s="21" t="s">
        <v>102</v>
      </c>
      <c r="C21" s="21" t="s">
        <v>90</v>
      </c>
      <c r="D21" s="19" t="s">
        <v>46</v>
      </c>
      <c r="E21" s="32">
        <f>SUMIFS('Inventory Stock'!$D$7:$D$24,'Inventory Stock'!$B$7:$B$24,$B21,'Inventory Stock'!$E$7:$E$24,$D21)</f>
        <v>0</v>
      </c>
      <c r="F21" s="32">
        <f>SUMIFS('Crockery &amp; Serveware'!$D$7:$D$26,'Crockery &amp; Serveware'!$B$7:$B$26,$B21,'Crockery &amp; Serveware'!$E$7:$E$26,$D21)</f>
        <v>17</v>
      </c>
      <c r="G21" s="32">
        <f>SUMIFS('Basement Store'!$D$7:$D$47,'Basement Store'!$B$7:$B$47,$B21,'Basement Store'!$E$7:$E$47,$D21)</f>
        <v>0</v>
      </c>
      <c r="H21" s="33">
        <f t="shared" si="0"/>
        <v>17</v>
      </c>
    </row>
    <row r="22" spans="1:8" x14ac:dyDescent="0.25">
      <c r="A22" s="14">
        <v>17</v>
      </c>
      <c r="B22" s="16" t="s">
        <v>118</v>
      </c>
      <c r="C22" s="16" t="s">
        <v>90</v>
      </c>
      <c r="D22" s="14" t="s">
        <v>46</v>
      </c>
      <c r="E22" s="30">
        <f>SUMIFS('Inventory Stock'!$D$7:$D$24,'Inventory Stock'!$B$7:$B$24,$B22,'Inventory Stock'!$E$7:$E$24,$D22)</f>
        <v>0</v>
      </c>
      <c r="F22" s="30">
        <f>SUMIFS('Crockery &amp; Serveware'!$D$7:$D$26,'Crockery &amp; Serveware'!$B$7:$B$26,$B22,'Crockery &amp; Serveware'!$E$7:$E$26,$D22)</f>
        <v>12</v>
      </c>
      <c r="G22" s="30">
        <f>SUMIFS('Basement Store'!$D$7:$D$47,'Basement Store'!$B$7:$B$47,$B22,'Basement Store'!$E$7:$E$47,$D22)</f>
        <v>0</v>
      </c>
      <c r="H22" s="31">
        <f t="shared" si="0"/>
        <v>12</v>
      </c>
    </row>
    <row r="23" spans="1:8" x14ac:dyDescent="0.25">
      <c r="A23" s="19">
        <v>18</v>
      </c>
      <c r="B23" s="21" t="s">
        <v>119</v>
      </c>
      <c r="C23" s="21" t="s">
        <v>90</v>
      </c>
      <c r="D23" s="19" t="s">
        <v>46</v>
      </c>
      <c r="E23" s="32">
        <f>SUMIFS('Inventory Stock'!$D$7:$D$24,'Inventory Stock'!$B$7:$B$24,$B23,'Inventory Stock'!$E$7:$E$24,$D23)</f>
        <v>0</v>
      </c>
      <c r="F23" s="32">
        <f>SUMIFS('Crockery &amp; Serveware'!$D$7:$D$26,'Crockery &amp; Serveware'!$B$7:$B$26,$B23,'Crockery &amp; Serveware'!$E$7:$E$26,$D23)</f>
        <v>10</v>
      </c>
      <c r="G23" s="32">
        <f>SUMIFS('Basement Store'!$D$7:$D$47,'Basement Store'!$B$7:$B$47,$B23,'Basement Store'!$E$7:$E$47,$D23)</f>
        <v>0</v>
      </c>
      <c r="H23" s="33">
        <f t="shared" si="0"/>
        <v>10</v>
      </c>
    </row>
    <row r="24" spans="1:8" x14ac:dyDescent="0.25">
      <c r="A24" s="14">
        <v>19</v>
      </c>
      <c r="B24" s="16" t="s">
        <v>100</v>
      </c>
      <c r="C24" s="16" t="s">
        <v>90</v>
      </c>
      <c r="D24" s="14" t="s">
        <v>46</v>
      </c>
      <c r="E24" s="30">
        <f>SUMIFS('Inventory Stock'!$D$7:$D$24,'Inventory Stock'!$B$7:$B$24,$B24,'Inventory Stock'!$E$7:$E$24,$D24)</f>
        <v>0</v>
      </c>
      <c r="F24" s="30">
        <f>SUMIFS('Crockery &amp; Serveware'!$D$7:$D$26,'Crockery &amp; Serveware'!$B$7:$B$26,$B24,'Crockery &amp; Serveware'!$E$7:$E$26,$D24)</f>
        <v>26</v>
      </c>
      <c r="G24" s="30">
        <f>SUMIFS('Basement Store'!$D$7:$D$47,'Basement Store'!$B$7:$B$47,$B24,'Basement Store'!$E$7:$E$47,$D24)</f>
        <v>0</v>
      </c>
      <c r="H24" s="31">
        <f t="shared" si="0"/>
        <v>26</v>
      </c>
    </row>
    <row r="25" spans="1:8" x14ac:dyDescent="0.25">
      <c r="A25" s="19">
        <v>20</v>
      </c>
      <c r="B25" s="21" t="s">
        <v>110</v>
      </c>
      <c r="C25" s="21" t="s">
        <v>90</v>
      </c>
      <c r="D25" s="19" t="s">
        <v>46</v>
      </c>
      <c r="E25" s="32">
        <f>SUMIFS('Inventory Stock'!$D$7:$D$24,'Inventory Stock'!$B$7:$B$24,$B25,'Inventory Stock'!$E$7:$E$24,$D25)</f>
        <v>0</v>
      </c>
      <c r="F25" s="32">
        <f>SUMIFS('Crockery &amp; Serveware'!$D$7:$D$26,'Crockery &amp; Serveware'!$B$7:$B$26,$B25,'Crockery &amp; Serveware'!$E$7:$E$26,$D25)</f>
        <v>17</v>
      </c>
      <c r="G25" s="32">
        <f>SUMIFS('Basement Store'!$D$7:$D$47,'Basement Store'!$B$7:$B$47,$B25,'Basement Store'!$E$7:$E$47,$D25)</f>
        <v>0</v>
      </c>
      <c r="H25" s="33">
        <f t="shared" si="0"/>
        <v>17</v>
      </c>
    </row>
    <row r="26" spans="1:8" x14ac:dyDescent="0.25">
      <c r="A26" s="14">
        <v>21</v>
      </c>
      <c r="B26" s="16" t="s">
        <v>113</v>
      </c>
      <c r="C26" s="16" t="s">
        <v>90</v>
      </c>
      <c r="D26" s="14" t="s">
        <v>46</v>
      </c>
      <c r="E26" s="30">
        <f>SUMIFS('Inventory Stock'!$D$7:$D$24,'Inventory Stock'!$B$7:$B$24,$B26,'Inventory Stock'!$E$7:$E$24,$D26)</f>
        <v>0</v>
      </c>
      <c r="F26" s="30">
        <f>SUMIFS('Crockery &amp; Serveware'!$D$7:$D$26,'Crockery &amp; Serveware'!$B$7:$B$26,$B26,'Crockery &amp; Serveware'!$E$7:$E$26,$D26)</f>
        <v>17</v>
      </c>
      <c r="G26" s="30">
        <f>SUMIFS('Basement Store'!$D$7:$D$47,'Basement Store'!$B$7:$B$47,$B26,'Basement Store'!$E$7:$E$47,$D26)</f>
        <v>0</v>
      </c>
      <c r="H26" s="31">
        <f t="shared" si="0"/>
        <v>17</v>
      </c>
    </row>
    <row r="27" spans="1:8" x14ac:dyDescent="0.25">
      <c r="A27" s="19">
        <v>22</v>
      </c>
      <c r="B27" s="21" t="s">
        <v>109</v>
      </c>
      <c r="C27" s="21" t="s">
        <v>90</v>
      </c>
      <c r="D27" s="19" t="s">
        <v>46</v>
      </c>
      <c r="E27" s="32">
        <f>SUMIFS('Inventory Stock'!$D$7:$D$24,'Inventory Stock'!$B$7:$B$24,$B27,'Inventory Stock'!$E$7:$E$24,$D27)</f>
        <v>0</v>
      </c>
      <c r="F27" s="32">
        <f>SUMIFS('Crockery &amp; Serveware'!$D$7:$D$26,'Crockery &amp; Serveware'!$B$7:$B$26,$B27,'Crockery &amp; Serveware'!$E$7:$E$26,$D27)</f>
        <v>4</v>
      </c>
      <c r="G27" s="32">
        <f>SUMIFS('Basement Store'!$D$7:$D$47,'Basement Store'!$B$7:$B$47,$B27,'Basement Store'!$E$7:$E$47,$D27)</f>
        <v>0</v>
      </c>
      <c r="H27" s="33">
        <f t="shared" si="0"/>
        <v>4</v>
      </c>
    </row>
    <row r="28" spans="1:8" x14ac:dyDescent="0.25">
      <c r="A28" s="14">
        <v>23</v>
      </c>
      <c r="B28" s="16" t="s">
        <v>115</v>
      </c>
      <c r="C28" s="16" t="s">
        <v>90</v>
      </c>
      <c r="D28" s="14" t="s">
        <v>46</v>
      </c>
      <c r="E28" s="30">
        <f>SUMIFS('Inventory Stock'!$D$7:$D$24,'Inventory Stock'!$B$7:$B$24,$B28,'Inventory Stock'!$E$7:$E$24,$D28)</f>
        <v>0</v>
      </c>
      <c r="F28" s="30">
        <f>SUMIFS('Crockery &amp; Serveware'!$D$7:$D$26,'Crockery &amp; Serveware'!$B$7:$B$26,$B28,'Crockery &amp; Serveware'!$E$7:$E$26,$D28)</f>
        <v>15</v>
      </c>
      <c r="G28" s="30">
        <f>SUMIFS('Basement Store'!$D$7:$D$47,'Basement Store'!$B$7:$B$47,$B28,'Basement Store'!$E$7:$E$47,$D28)</f>
        <v>0</v>
      </c>
      <c r="H28" s="31">
        <f t="shared" si="0"/>
        <v>15</v>
      </c>
    </row>
    <row r="29" spans="1:8" x14ac:dyDescent="0.25">
      <c r="A29" s="19">
        <v>24</v>
      </c>
      <c r="B29" s="21" t="s">
        <v>89</v>
      </c>
      <c r="C29" s="21" t="s">
        <v>90</v>
      </c>
      <c r="D29" s="19" t="s">
        <v>46</v>
      </c>
      <c r="E29" s="32">
        <f>SUMIFS('Inventory Stock'!$D$7:$D$24,'Inventory Stock'!$B$7:$B$24,$B29,'Inventory Stock'!$E$7:$E$24,$D29)</f>
        <v>0</v>
      </c>
      <c r="F29" s="32">
        <f>SUMIFS('Crockery &amp; Serveware'!$D$7:$D$26,'Crockery &amp; Serveware'!$B$7:$B$26,$B29,'Crockery &amp; Serveware'!$E$7:$E$26,$D29)</f>
        <v>12</v>
      </c>
      <c r="G29" s="32">
        <f>SUMIFS('Basement Store'!$D$7:$D$47,'Basement Store'!$B$7:$B$47,$B29,'Basement Store'!$E$7:$E$47,$D29)</f>
        <v>0</v>
      </c>
      <c r="H29" s="33">
        <f t="shared" si="0"/>
        <v>12</v>
      </c>
    </row>
    <row r="30" spans="1:8" x14ac:dyDescent="0.25">
      <c r="A30" s="14">
        <v>25</v>
      </c>
      <c r="B30" s="16" t="s">
        <v>91</v>
      </c>
      <c r="C30" s="16" t="s">
        <v>90</v>
      </c>
      <c r="D30" s="14" t="s">
        <v>46</v>
      </c>
      <c r="E30" s="30">
        <f>SUMIFS('Inventory Stock'!$D$7:$D$24,'Inventory Stock'!$B$7:$B$24,$B30,'Inventory Stock'!$E$7:$E$24,$D30)</f>
        <v>0</v>
      </c>
      <c r="F30" s="30">
        <f>SUMIFS('Crockery &amp; Serveware'!$D$7:$D$26,'Crockery &amp; Serveware'!$B$7:$B$26,$B30,'Crockery &amp; Serveware'!$E$7:$E$26,$D30)</f>
        <v>6</v>
      </c>
      <c r="G30" s="30">
        <f>SUMIFS('Basement Store'!$D$7:$D$47,'Basement Store'!$B$7:$B$47,$B30,'Basement Store'!$E$7:$E$47,$D30)</f>
        <v>0</v>
      </c>
      <c r="H30" s="31">
        <f t="shared" si="0"/>
        <v>6</v>
      </c>
    </row>
    <row r="31" spans="1:8" x14ac:dyDescent="0.25">
      <c r="A31" s="19">
        <v>26</v>
      </c>
      <c r="B31" s="21" t="s">
        <v>116</v>
      </c>
      <c r="C31" s="21" t="s">
        <v>90</v>
      </c>
      <c r="D31" s="19" t="s">
        <v>46</v>
      </c>
      <c r="E31" s="32">
        <f>SUMIFS('Inventory Stock'!$D$7:$D$24,'Inventory Stock'!$B$7:$B$24,$B31,'Inventory Stock'!$E$7:$E$24,$D31)</f>
        <v>0</v>
      </c>
      <c r="F31" s="32">
        <f>SUMIFS('Crockery &amp; Serveware'!$D$7:$D$26,'Crockery &amp; Serveware'!$B$7:$B$26,$B31,'Crockery &amp; Serveware'!$E$7:$E$26,$D31)</f>
        <v>12</v>
      </c>
      <c r="G31" s="32">
        <f>SUMIFS('Basement Store'!$D$7:$D$47,'Basement Store'!$B$7:$B$47,$B31,'Basement Store'!$E$7:$E$47,$D31)</f>
        <v>0</v>
      </c>
      <c r="H31" s="33">
        <f t="shared" si="0"/>
        <v>12</v>
      </c>
    </row>
    <row r="32" spans="1:8" x14ac:dyDescent="0.25">
      <c r="A32" s="14">
        <v>27</v>
      </c>
      <c r="B32" s="16" t="s">
        <v>107</v>
      </c>
      <c r="C32" s="16" t="s">
        <v>104</v>
      </c>
      <c r="D32" s="14" t="s">
        <v>46</v>
      </c>
      <c r="E32" s="30">
        <f>SUMIFS('Inventory Stock'!$D$7:$D$24,'Inventory Stock'!$B$7:$B$24,$B32,'Inventory Stock'!$E$7:$E$24,$D32)</f>
        <v>0</v>
      </c>
      <c r="F32" s="30">
        <f>SUMIFS('Crockery &amp; Serveware'!$D$7:$D$26,'Crockery &amp; Serveware'!$B$7:$B$26,$B32,'Crockery &amp; Serveware'!$E$7:$E$26,$D32)</f>
        <v>11</v>
      </c>
      <c r="G32" s="30">
        <f>SUMIFS('Basement Store'!$D$7:$D$47,'Basement Store'!$B$7:$B$47,$B32,'Basement Store'!$E$7:$E$47,$D32)</f>
        <v>0</v>
      </c>
      <c r="H32" s="31">
        <f t="shared" si="0"/>
        <v>11</v>
      </c>
    </row>
    <row r="33" spans="1:8" x14ac:dyDescent="0.25">
      <c r="A33" s="19">
        <v>28</v>
      </c>
      <c r="B33" s="21" t="s">
        <v>105</v>
      </c>
      <c r="C33" s="21" t="s">
        <v>104</v>
      </c>
      <c r="D33" s="19" t="s">
        <v>46</v>
      </c>
      <c r="E33" s="32">
        <f>SUMIFS('Inventory Stock'!$D$7:$D$24,'Inventory Stock'!$B$7:$B$24,$B33,'Inventory Stock'!$E$7:$E$24,$D33)</f>
        <v>0</v>
      </c>
      <c r="F33" s="32">
        <f>SUMIFS('Crockery &amp; Serveware'!$D$7:$D$26,'Crockery &amp; Serveware'!$B$7:$B$26,$B33,'Crockery &amp; Serveware'!$E$7:$E$26,$D33)</f>
        <v>21</v>
      </c>
      <c r="G33" s="32">
        <f>SUMIFS('Basement Store'!$D$7:$D$47,'Basement Store'!$B$7:$B$47,$B33,'Basement Store'!$E$7:$E$47,$D33)</f>
        <v>0</v>
      </c>
      <c r="H33" s="33">
        <f t="shared" si="0"/>
        <v>21</v>
      </c>
    </row>
    <row r="34" spans="1:8" x14ac:dyDescent="0.25">
      <c r="A34" s="14">
        <v>29</v>
      </c>
      <c r="B34" s="16" t="s">
        <v>103</v>
      </c>
      <c r="C34" s="16" t="s">
        <v>104</v>
      </c>
      <c r="D34" s="14" t="s">
        <v>46</v>
      </c>
      <c r="E34" s="30">
        <f>SUMIFS('Inventory Stock'!$D$7:$D$24,'Inventory Stock'!$B$7:$B$24,$B34,'Inventory Stock'!$E$7:$E$24,$D34)</f>
        <v>0</v>
      </c>
      <c r="F34" s="30">
        <f>SUMIFS('Crockery &amp; Serveware'!$D$7:$D$26,'Crockery &amp; Serveware'!$B$7:$B$26,$B34,'Crockery &amp; Serveware'!$E$7:$E$26,$D34)</f>
        <v>32</v>
      </c>
      <c r="G34" s="30">
        <f>SUMIFS('Basement Store'!$D$7:$D$47,'Basement Store'!$B$7:$B$47,$B34,'Basement Store'!$E$7:$E$47,$D34)</f>
        <v>0</v>
      </c>
      <c r="H34" s="31">
        <f t="shared" si="0"/>
        <v>32</v>
      </c>
    </row>
    <row r="35" spans="1:8" x14ac:dyDescent="0.25">
      <c r="A35" s="19">
        <v>30</v>
      </c>
      <c r="B35" s="21" t="s">
        <v>198</v>
      </c>
      <c r="C35" s="21" t="s">
        <v>196</v>
      </c>
      <c r="D35" s="19" t="s">
        <v>46</v>
      </c>
      <c r="E35" s="32">
        <f>SUMIFS('Inventory Stock'!$D$7:$D$24,'Inventory Stock'!$B$7:$B$24,$B35,'Inventory Stock'!$E$7:$E$24,$D35)</f>
        <v>0</v>
      </c>
      <c r="F35" s="32">
        <f>SUMIFS('Crockery &amp; Serveware'!$D$7:$D$26,'Crockery &amp; Serveware'!$B$7:$B$26,$B35,'Crockery &amp; Serveware'!$E$7:$E$26,$D35)</f>
        <v>0</v>
      </c>
      <c r="G35" s="32">
        <f>SUMIFS('Basement Store'!$D$7:$D$47,'Basement Store'!$B$7:$B$47,$B35,'Basement Store'!$E$7:$E$47,$D35)</f>
        <v>2</v>
      </c>
      <c r="H35" s="33">
        <f t="shared" si="0"/>
        <v>2</v>
      </c>
    </row>
    <row r="36" spans="1:8" x14ac:dyDescent="0.25">
      <c r="A36" s="14">
        <v>31</v>
      </c>
      <c r="B36" s="16" t="s">
        <v>195</v>
      </c>
      <c r="C36" s="16" t="s">
        <v>196</v>
      </c>
      <c r="D36" s="14" t="s">
        <v>46</v>
      </c>
      <c r="E36" s="30">
        <f>SUMIFS('Inventory Stock'!$D$7:$D$24,'Inventory Stock'!$B$7:$B$24,$B36,'Inventory Stock'!$E$7:$E$24,$D36)</f>
        <v>0</v>
      </c>
      <c r="F36" s="30">
        <f>SUMIFS('Crockery &amp; Serveware'!$D$7:$D$26,'Crockery &amp; Serveware'!$B$7:$B$26,$B36,'Crockery &amp; Serveware'!$E$7:$E$26,$D36)</f>
        <v>0</v>
      </c>
      <c r="G36" s="30">
        <f>SUMIFS('Basement Store'!$D$7:$D$47,'Basement Store'!$B$7:$B$47,$B36,'Basement Store'!$E$7:$E$47,$D36)</f>
        <v>1</v>
      </c>
      <c r="H36" s="31">
        <f t="shared" si="0"/>
        <v>1</v>
      </c>
    </row>
    <row r="37" spans="1:8" x14ac:dyDescent="0.25">
      <c r="A37" s="19">
        <v>32</v>
      </c>
      <c r="B37" s="21" t="s">
        <v>79</v>
      </c>
      <c r="C37" s="21" t="s">
        <v>42</v>
      </c>
      <c r="D37" s="19" t="s">
        <v>71</v>
      </c>
      <c r="E37" s="32">
        <f>SUMIFS('Inventory Stock'!$D$7:$D$24,'Inventory Stock'!$B$7:$B$24,$B37,'Inventory Stock'!$E$7:$E$24,$D37)</f>
        <v>1</v>
      </c>
      <c r="F37" s="32">
        <f>SUMIFS('Crockery &amp; Serveware'!$D$7:$D$26,'Crockery &amp; Serveware'!$B$7:$B$26,$B37,'Crockery &amp; Serveware'!$E$7:$E$26,$D37)</f>
        <v>0</v>
      </c>
      <c r="G37" s="32">
        <f>SUMIFS('Basement Store'!$D$7:$D$47,'Basement Store'!$B$7:$B$47,$B37,'Basement Store'!$E$7:$E$47,$D37)</f>
        <v>5</v>
      </c>
      <c r="H37" s="33">
        <f t="shared" si="0"/>
        <v>6</v>
      </c>
    </row>
    <row r="38" spans="1:8" x14ac:dyDescent="0.25">
      <c r="A38" s="14">
        <v>33</v>
      </c>
      <c r="B38" s="16" t="s">
        <v>48</v>
      </c>
      <c r="C38" s="16" t="s">
        <v>42</v>
      </c>
      <c r="D38" s="14" t="s">
        <v>46</v>
      </c>
      <c r="E38" s="30">
        <f>SUMIFS('Inventory Stock'!$D$7:$D$24,'Inventory Stock'!$B$7:$B$24,$B38,'Inventory Stock'!$E$7:$E$24,$D38)</f>
        <v>70</v>
      </c>
      <c r="F38" s="30">
        <f>SUMIFS('Crockery &amp; Serveware'!$D$7:$D$26,'Crockery &amp; Serveware'!$B$7:$B$26,$B38,'Crockery &amp; Serveware'!$E$7:$E$26,$D38)</f>
        <v>0</v>
      </c>
      <c r="G38" s="30">
        <f>SUMIFS('Basement Store'!$D$7:$D$47,'Basement Store'!$B$7:$B$47,$B38,'Basement Store'!$E$7:$E$47,$D38)</f>
        <v>50</v>
      </c>
      <c r="H38" s="31">
        <f t="shared" ref="H38:H69" si="1">SUM(E38:G38)</f>
        <v>120</v>
      </c>
    </row>
    <row r="39" spans="1:8" x14ac:dyDescent="0.25">
      <c r="A39" s="19">
        <v>34</v>
      </c>
      <c r="B39" s="21" t="s">
        <v>41</v>
      </c>
      <c r="C39" s="21" t="s">
        <v>42</v>
      </c>
      <c r="D39" s="19" t="s">
        <v>43</v>
      </c>
      <c r="E39" s="32">
        <f>SUMIFS('Inventory Stock'!$D$7:$D$24,'Inventory Stock'!$B$7:$B$24,$B39,'Inventory Stock'!$E$7:$E$24,$D39)</f>
        <v>4</v>
      </c>
      <c r="F39" s="32">
        <f>SUMIFS('Crockery &amp; Serveware'!$D$7:$D$26,'Crockery &amp; Serveware'!$B$7:$B$26,$B39,'Crockery &amp; Serveware'!$E$7:$E$26,$D39)</f>
        <v>0</v>
      </c>
      <c r="G39" s="32">
        <f>SUMIFS('Basement Store'!$D$7:$D$47,'Basement Store'!$B$7:$B$47,$B39,'Basement Store'!$E$7:$E$47,$D39)</f>
        <v>0</v>
      </c>
      <c r="H39" s="33">
        <f t="shared" si="1"/>
        <v>4</v>
      </c>
    </row>
    <row r="40" spans="1:8" x14ac:dyDescent="0.25">
      <c r="A40" s="14">
        <v>35</v>
      </c>
      <c r="B40" s="16" t="s">
        <v>78</v>
      </c>
      <c r="C40" s="16" t="s">
        <v>42</v>
      </c>
      <c r="D40" s="14" t="s">
        <v>71</v>
      </c>
      <c r="E40" s="30">
        <f>SUMIFS('Inventory Stock'!$D$7:$D$24,'Inventory Stock'!$B$7:$B$24,$B40,'Inventory Stock'!$E$7:$E$24,$D40)</f>
        <v>5</v>
      </c>
      <c r="F40" s="30">
        <f>SUMIFS('Crockery &amp; Serveware'!$D$7:$D$26,'Crockery &amp; Serveware'!$B$7:$B$26,$B40,'Crockery &amp; Serveware'!$E$7:$E$26,$D40)</f>
        <v>0</v>
      </c>
      <c r="G40" s="30">
        <f>SUMIFS('Basement Store'!$D$7:$D$47,'Basement Store'!$B$7:$B$47,$B40,'Basement Store'!$E$7:$E$47,$D40)</f>
        <v>15</v>
      </c>
      <c r="H40" s="31">
        <f t="shared" si="1"/>
        <v>20</v>
      </c>
    </row>
    <row r="41" spans="1:8" x14ac:dyDescent="0.25">
      <c r="A41" s="19">
        <v>36</v>
      </c>
      <c r="B41" s="21" t="s">
        <v>45</v>
      </c>
      <c r="C41" s="21" t="s">
        <v>42</v>
      </c>
      <c r="D41" s="19" t="s">
        <v>46</v>
      </c>
      <c r="E41" s="32">
        <f>SUMIFS('Inventory Stock'!$D$7:$D$24,'Inventory Stock'!$B$7:$B$24,$B41,'Inventory Stock'!$E$7:$E$24,$D41)</f>
        <v>11</v>
      </c>
      <c r="F41" s="32">
        <f>SUMIFS('Crockery &amp; Serveware'!$D$7:$D$26,'Crockery &amp; Serveware'!$B$7:$B$26,$B41,'Crockery &amp; Serveware'!$E$7:$E$26,$D41)</f>
        <v>0</v>
      </c>
      <c r="G41" s="32">
        <f>SUMIFS('Basement Store'!$D$7:$D$47,'Basement Store'!$B$7:$B$47,$B41,'Basement Store'!$E$7:$E$47,$D41)</f>
        <v>10</v>
      </c>
      <c r="H41" s="33">
        <f t="shared" si="1"/>
        <v>21</v>
      </c>
    </row>
    <row r="42" spans="1:8" x14ac:dyDescent="0.25">
      <c r="A42" s="14">
        <v>37</v>
      </c>
      <c r="B42" s="16" t="s">
        <v>168</v>
      </c>
      <c r="C42" s="16" t="s">
        <v>50</v>
      </c>
      <c r="D42" s="14" t="s">
        <v>46</v>
      </c>
      <c r="E42" s="30">
        <f>SUMIFS('Inventory Stock'!$D$7:$D$24,'Inventory Stock'!$B$7:$B$24,$B42,'Inventory Stock'!$E$7:$E$24,$D42)</f>
        <v>0</v>
      </c>
      <c r="F42" s="30">
        <f>SUMIFS('Crockery &amp; Serveware'!$D$7:$D$26,'Crockery &amp; Serveware'!$B$7:$B$26,$B42,'Crockery &amp; Serveware'!$E$7:$E$26,$D42)</f>
        <v>0</v>
      </c>
      <c r="G42" s="30">
        <f>SUMIFS('Basement Store'!$D$7:$D$47,'Basement Store'!$B$7:$B$47,$B42,'Basement Store'!$E$7:$E$47,$D42)</f>
        <v>3</v>
      </c>
      <c r="H42" s="31">
        <f t="shared" si="1"/>
        <v>3</v>
      </c>
    </row>
    <row r="43" spans="1:8" x14ac:dyDescent="0.25">
      <c r="A43" s="19">
        <v>38</v>
      </c>
      <c r="B43" s="21" t="s">
        <v>150</v>
      </c>
      <c r="C43" s="21" t="s">
        <v>50</v>
      </c>
      <c r="D43" s="19" t="s">
        <v>46</v>
      </c>
      <c r="E43" s="32">
        <f>SUMIFS('Inventory Stock'!$D$7:$D$24,'Inventory Stock'!$B$7:$B$24,$B43,'Inventory Stock'!$E$7:$E$24,$D43)</f>
        <v>0</v>
      </c>
      <c r="F43" s="32">
        <f>SUMIFS('Crockery &amp; Serveware'!$D$7:$D$26,'Crockery &amp; Serveware'!$B$7:$B$26,$B43,'Crockery &amp; Serveware'!$E$7:$E$26,$D43)</f>
        <v>0</v>
      </c>
      <c r="G43" s="32">
        <f>SUMIFS('Basement Store'!$D$7:$D$47,'Basement Store'!$B$7:$B$47,$B43,'Basement Store'!$E$7:$E$47,$D43)</f>
        <v>14</v>
      </c>
      <c r="H43" s="33">
        <f t="shared" si="1"/>
        <v>14</v>
      </c>
    </row>
    <row r="44" spans="1:8" x14ac:dyDescent="0.25">
      <c r="A44" s="14">
        <v>39</v>
      </c>
      <c r="B44" s="16" t="s">
        <v>151</v>
      </c>
      <c r="C44" s="16" t="s">
        <v>50</v>
      </c>
      <c r="D44" s="14" t="s">
        <v>46</v>
      </c>
      <c r="E44" s="30">
        <f>SUMIFS('Inventory Stock'!$D$7:$D$24,'Inventory Stock'!$B$7:$B$24,$B44,'Inventory Stock'!$E$7:$E$24,$D44)</f>
        <v>0</v>
      </c>
      <c r="F44" s="30">
        <f>SUMIFS('Crockery &amp; Serveware'!$D$7:$D$26,'Crockery &amp; Serveware'!$B$7:$B$26,$B44,'Crockery &amp; Serveware'!$E$7:$E$26,$D44)</f>
        <v>0</v>
      </c>
      <c r="G44" s="30">
        <f>SUMIFS('Basement Store'!$D$7:$D$47,'Basement Store'!$B$7:$B$47,$B44,'Basement Store'!$E$7:$E$47,$D44)</f>
        <v>1</v>
      </c>
      <c r="H44" s="31">
        <f t="shared" si="1"/>
        <v>1</v>
      </c>
    </row>
    <row r="45" spans="1:8" x14ac:dyDescent="0.25">
      <c r="A45" s="19">
        <v>40</v>
      </c>
      <c r="B45" s="21" t="s">
        <v>161</v>
      </c>
      <c r="C45" s="21" t="s">
        <v>50</v>
      </c>
      <c r="D45" s="19" t="s">
        <v>46</v>
      </c>
      <c r="E45" s="32">
        <f>SUMIFS('Inventory Stock'!$D$7:$D$24,'Inventory Stock'!$B$7:$B$24,$B45,'Inventory Stock'!$E$7:$E$24,$D45)</f>
        <v>0</v>
      </c>
      <c r="F45" s="32">
        <f>SUMIFS('Crockery &amp; Serveware'!$D$7:$D$26,'Crockery &amp; Serveware'!$B$7:$B$26,$B45,'Crockery &amp; Serveware'!$E$7:$E$26,$D45)</f>
        <v>0</v>
      </c>
      <c r="G45" s="32">
        <f>SUMIFS('Basement Store'!$D$7:$D$47,'Basement Store'!$B$7:$B$47,$B45,'Basement Store'!$E$7:$E$47,$D45)</f>
        <v>11</v>
      </c>
      <c r="H45" s="33">
        <f t="shared" si="1"/>
        <v>11</v>
      </c>
    </row>
    <row r="46" spans="1:8" x14ac:dyDescent="0.25">
      <c r="A46" s="14">
        <v>41</v>
      </c>
      <c r="B46" s="16" t="s">
        <v>81</v>
      </c>
      <c r="C46" s="16" t="s">
        <v>50</v>
      </c>
      <c r="D46" s="14" t="s">
        <v>46</v>
      </c>
      <c r="E46" s="30">
        <f>SUMIFS('Inventory Stock'!$D$7:$D$24,'Inventory Stock'!$B$7:$B$24,$B46,'Inventory Stock'!$E$7:$E$24,$D46)</f>
        <v>29</v>
      </c>
      <c r="F46" s="30">
        <f>SUMIFS('Crockery &amp; Serveware'!$D$7:$D$26,'Crockery &amp; Serveware'!$B$7:$B$26,$B46,'Crockery &amp; Serveware'!$E$7:$E$26,$D46)</f>
        <v>0</v>
      </c>
      <c r="G46" s="30">
        <f>SUMIFS('Basement Store'!$D$7:$D$47,'Basement Store'!$B$7:$B$47,$B46,'Basement Store'!$E$7:$E$47,$D46)</f>
        <v>20</v>
      </c>
      <c r="H46" s="31">
        <f t="shared" si="1"/>
        <v>49</v>
      </c>
    </row>
    <row r="47" spans="1:8" x14ac:dyDescent="0.25">
      <c r="A47" s="19">
        <v>42</v>
      </c>
      <c r="B47" s="21" t="s">
        <v>53</v>
      </c>
      <c r="C47" s="21" t="s">
        <v>50</v>
      </c>
      <c r="D47" s="19" t="s">
        <v>43</v>
      </c>
      <c r="E47" s="32">
        <f>SUMIFS('Inventory Stock'!$D$7:$D$24,'Inventory Stock'!$B$7:$B$24,$B47,'Inventory Stock'!$E$7:$E$24,$D47)</f>
        <v>2</v>
      </c>
      <c r="F47" s="32">
        <f>SUMIFS('Crockery &amp; Serveware'!$D$7:$D$26,'Crockery &amp; Serveware'!$B$7:$B$26,$B47,'Crockery &amp; Serveware'!$E$7:$E$26,$D47)</f>
        <v>0</v>
      </c>
      <c r="G47" s="32">
        <f>SUMIFS('Basement Store'!$D$7:$D$47,'Basement Store'!$B$7:$B$47,$B47,'Basement Store'!$E$7:$E$47,$D47)</f>
        <v>0</v>
      </c>
      <c r="H47" s="33">
        <f t="shared" si="1"/>
        <v>2</v>
      </c>
    </row>
    <row r="48" spans="1:8" x14ac:dyDescent="0.25">
      <c r="A48" s="14">
        <v>43</v>
      </c>
      <c r="B48" s="16" t="s">
        <v>53</v>
      </c>
      <c r="C48" s="16" t="s">
        <v>50</v>
      </c>
      <c r="D48" s="14" t="s">
        <v>136</v>
      </c>
      <c r="E48" s="30">
        <f>SUMIFS('Inventory Stock'!$D$7:$D$24,'Inventory Stock'!$B$7:$B$24,$B48,'Inventory Stock'!$E$7:$E$24,$D48)</f>
        <v>0</v>
      </c>
      <c r="F48" s="30">
        <f>SUMIFS('Crockery &amp; Serveware'!$D$7:$D$26,'Crockery &amp; Serveware'!$B$7:$B$26,$B48,'Crockery &amp; Serveware'!$E$7:$E$26,$D48)</f>
        <v>0</v>
      </c>
      <c r="G48" s="30">
        <f>SUMIFS('Basement Store'!$D$7:$D$47,'Basement Store'!$B$7:$B$47,$B48,'Basement Store'!$E$7:$E$47,$D48)</f>
        <v>14</v>
      </c>
      <c r="H48" s="31">
        <f t="shared" si="1"/>
        <v>14</v>
      </c>
    </row>
    <row r="49" spans="1:8" x14ac:dyDescent="0.25">
      <c r="A49" s="19">
        <v>44</v>
      </c>
      <c r="B49" s="21" t="s">
        <v>148</v>
      </c>
      <c r="C49" s="21" t="s">
        <v>50</v>
      </c>
      <c r="D49" s="19" t="s">
        <v>46</v>
      </c>
      <c r="E49" s="32">
        <f>SUMIFS('Inventory Stock'!$D$7:$D$24,'Inventory Stock'!$B$7:$B$24,$B49,'Inventory Stock'!$E$7:$E$24,$D49)</f>
        <v>0</v>
      </c>
      <c r="F49" s="32">
        <f>SUMIFS('Crockery &amp; Serveware'!$D$7:$D$26,'Crockery &amp; Serveware'!$B$7:$B$26,$B49,'Crockery &amp; Serveware'!$E$7:$E$26,$D49)</f>
        <v>0</v>
      </c>
      <c r="G49" s="32">
        <f>SUMIFS('Basement Store'!$D$7:$D$47,'Basement Store'!$B$7:$B$47,$B49,'Basement Store'!$E$7:$E$47,$D49)</f>
        <v>1</v>
      </c>
      <c r="H49" s="33">
        <f t="shared" si="1"/>
        <v>1</v>
      </c>
    </row>
    <row r="50" spans="1:8" x14ac:dyDescent="0.25">
      <c r="A50" s="14">
        <v>45</v>
      </c>
      <c r="B50" s="16" t="s">
        <v>49</v>
      </c>
      <c r="C50" s="16" t="s">
        <v>50</v>
      </c>
      <c r="D50" s="14" t="s">
        <v>43</v>
      </c>
      <c r="E50" s="30">
        <f>SUMIFS('Inventory Stock'!$D$7:$D$24,'Inventory Stock'!$B$7:$B$24,$B50,'Inventory Stock'!$E$7:$E$24,$D50)</f>
        <v>2</v>
      </c>
      <c r="F50" s="30">
        <f>SUMIFS('Crockery &amp; Serveware'!$D$7:$D$26,'Crockery &amp; Serveware'!$B$7:$B$26,$B50,'Crockery &amp; Serveware'!$E$7:$E$26,$D50)</f>
        <v>0</v>
      </c>
      <c r="G50" s="30">
        <f>SUMIFS('Basement Store'!$D$7:$D$47,'Basement Store'!$B$7:$B$47,$B50,'Basement Store'!$E$7:$E$47,$D50)</f>
        <v>13</v>
      </c>
      <c r="H50" s="31">
        <f t="shared" si="1"/>
        <v>15</v>
      </c>
    </row>
    <row r="51" spans="1:8" x14ac:dyDescent="0.25">
      <c r="A51" s="19">
        <v>46</v>
      </c>
      <c r="B51" s="21" t="s">
        <v>164</v>
      </c>
      <c r="C51" s="21" t="s">
        <v>50</v>
      </c>
      <c r="D51" s="19" t="s">
        <v>46</v>
      </c>
      <c r="E51" s="32">
        <f>SUMIFS('Inventory Stock'!$D$7:$D$24,'Inventory Stock'!$B$7:$B$24,$B51,'Inventory Stock'!$E$7:$E$24,$D51)</f>
        <v>0</v>
      </c>
      <c r="F51" s="32">
        <f>SUMIFS('Crockery &amp; Serveware'!$D$7:$D$26,'Crockery &amp; Serveware'!$B$7:$B$26,$B51,'Crockery &amp; Serveware'!$E$7:$E$26,$D51)</f>
        <v>0</v>
      </c>
      <c r="G51" s="32">
        <f>SUMIFS('Basement Store'!$D$7:$D$47,'Basement Store'!$B$7:$B$47,$B51,'Basement Store'!$E$7:$E$47,$D51)</f>
        <v>1</v>
      </c>
      <c r="H51" s="33">
        <f t="shared" si="1"/>
        <v>1</v>
      </c>
    </row>
    <row r="52" spans="1:8" x14ac:dyDescent="0.25">
      <c r="A52" s="14">
        <v>47</v>
      </c>
      <c r="B52" s="16" t="s">
        <v>152</v>
      </c>
      <c r="C52" s="16" t="s">
        <v>50</v>
      </c>
      <c r="D52" s="14" t="s">
        <v>46</v>
      </c>
      <c r="E52" s="30">
        <f>SUMIFS('Inventory Stock'!$D$7:$D$24,'Inventory Stock'!$B$7:$B$24,$B52,'Inventory Stock'!$E$7:$E$24,$D52)</f>
        <v>0</v>
      </c>
      <c r="F52" s="30">
        <f>SUMIFS('Crockery &amp; Serveware'!$D$7:$D$26,'Crockery &amp; Serveware'!$B$7:$B$26,$B52,'Crockery &amp; Serveware'!$E$7:$E$26,$D52)</f>
        <v>0</v>
      </c>
      <c r="G52" s="30">
        <f>SUMIFS('Basement Store'!$D$7:$D$47,'Basement Store'!$B$7:$B$47,$B52,'Basement Store'!$E$7:$E$47,$D52)</f>
        <v>5</v>
      </c>
      <c r="H52" s="31">
        <f t="shared" si="1"/>
        <v>5</v>
      </c>
    </row>
    <row r="53" spans="1:8" x14ac:dyDescent="0.25">
      <c r="A53" s="19">
        <v>48</v>
      </c>
      <c r="B53" s="21" t="s">
        <v>154</v>
      </c>
      <c r="C53" s="21" t="s">
        <v>50</v>
      </c>
      <c r="D53" s="19" t="s">
        <v>46</v>
      </c>
      <c r="E53" s="32">
        <f>SUMIFS('Inventory Stock'!$D$7:$D$24,'Inventory Stock'!$B$7:$B$24,$B53,'Inventory Stock'!$E$7:$E$24,$D53)</f>
        <v>0</v>
      </c>
      <c r="F53" s="32">
        <f>SUMIFS('Crockery &amp; Serveware'!$D$7:$D$26,'Crockery &amp; Serveware'!$B$7:$B$26,$B53,'Crockery &amp; Serveware'!$E$7:$E$26,$D53)</f>
        <v>0</v>
      </c>
      <c r="G53" s="32">
        <f>SUMIFS('Basement Store'!$D$7:$D$47,'Basement Store'!$B$7:$B$47,$B53,'Basement Store'!$E$7:$E$47,$D53)</f>
        <v>5</v>
      </c>
      <c r="H53" s="33">
        <f t="shared" si="1"/>
        <v>5</v>
      </c>
    </row>
    <row r="54" spans="1:8" x14ac:dyDescent="0.25">
      <c r="A54" s="14">
        <v>49</v>
      </c>
      <c r="B54" s="16" t="s">
        <v>156</v>
      </c>
      <c r="C54" s="16" t="s">
        <v>50</v>
      </c>
      <c r="D54" s="14" t="s">
        <v>46</v>
      </c>
      <c r="E54" s="30">
        <f>SUMIFS('Inventory Stock'!$D$7:$D$24,'Inventory Stock'!$B$7:$B$24,$B54,'Inventory Stock'!$E$7:$E$24,$D54)</f>
        <v>0</v>
      </c>
      <c r="F54" s="30">
        <f>SUMIFS('Crockery &amp; Serveware'!$D$7:$D$26,'Crockery &amp; Serveware'!$B$7:$B$26,$B54,'Crockery &amp; Serveware'!$E$7:$E$26,$D54)</f>
        <v>0</v>
      </c>
      <c r="G54" s="30">
        <f>SUMIFS('Basement Store'!$D$7:$D$47,'Basement Store'!$B$7:$B$47,$B54,'Basement Store'!$E$7:$E$47,$D54)</f>
        <v>12</v>
      </c>
      <c r="H54" s="31">
        <f t="shared" si="1"/>
        <v>12</v>
      </c>
    </row>
    <row r="55" spans="1:8" x14ac:dyDescent="0.25">
      <c r="A55" s="19">
        <v>50</v>
      </c>
      <c r="B55" s="21" t="s">
        <v>158</v>
      </c>
      <c r="C55" s="21" t="s">
        <v>50</v>
      </c>
      <c r="D55" s="19" t="s">
        <v>46</v>
      </c>
      <c r="E55" s="32">
        <f>SUMIFS('Inventory Stock'!$D$7:$D$24,'Inventory Stock'!$B$7:$B$24,$B55,'Inventory Stock'!$E$7:$E$24,$D55)</f>
        <v>0</v>
      </c>
      <c r="F55" s="32">
        <f>SUMIFS('Crockery &amp; Serveware'!$D$7:$D$26,'Crockery &amp; Serveware'!$B$7:$B$26,$B55,'Crockery &amp; Serveware'!$E$7:$E$26,$D55)</f>
        <v>0</v>
      </c>
      <c r="G55" s="32">
        <f>SUMIFS('Basement Store'!$D$7:$D$47,'Basement Store'!$B$7:$B$47,$B55,'Basement Store'!$E$7:$E$47,$D55)</f>
        <v>3</v>
      </c>
      <c r="H55" s="33">
        <f t="shared" si="1"/>
        <v>3</v>
      </c>
    </row>
    <row r="56" spans="1:8" x14ac:dyDescent="0.25">
      <c r="A56" s="14">
        <v>51</v>
      </c>
      <c r="B56" s="16" t="s">
        <v>162</v>
      </c>
      <c r="C56" s="16" t="s">
        <v>50</v>
      </c>
      <c r="D56" s="14" t="s">
        <v>46</v>
      </c>
      <c r="E56" s="30">
        <f>SUMIFS('Inventory Stock'!$D$7:$D$24,'Inventory Stock'!$B$7:$B$24,$B56,'Inventory Stock'!$E$7:$E$24,$D56)</f>
        <v>0</v>
      </c>
      <c r="F56" s="30">
        <f>SUMIFS('Crockery &amp; Serveware'!$D$7:$D$26,'Crockery &amp; Serveware'!$B$7:$B$26,$B56,'Crockery &amp; Serveware'!$E$7:$E$26,$D56)</f>
        <v>0</v>
      </c>
      <c r="G56" s="30">
        <f>SUMIFS('Basement Store'!$D$7:$D$47,'Basement Store'!$B$7:$B$47,$B56,'Basement Store'!$E$7:$E$47,$D56)</f>
        <v>5</v>
      </c>
      <c r="H56" s="31">
        <f t="shared" si="1"/>
        <v>5</v>
      </c>
    </row>
    <row r="57" spans="1:8" x14ac:dyDescent="0.25">
      <c r="A57" s="19">
        <v>52</v>
      </c>
      <c r="B57" s="21" t="s">
        <v>169</v>
      </c>
      <c r="C57" s="21" t="s">
        <v>50</v>
      </c>
      <c r="D57" s="19" t="s">
        <v>46</v>
      </c>
      <c r="E57" s="32">
        <f>SUMIFS('Inventory Stock'!$D$7:$D$24,'Inventory Stock'!$B$7:$B$24,$B57,'Inventory Stock'!$E$7:$E$24,$D57)</f>
        <v>0</v>
      </c>
      <c r="F57" s="32">
        <f>SUMIFS('Crockery &amp; Serveware'!$D$7:$D$26,'Crockery &amp; Serveware'!$B$7:$B$26,$B57,'Crockery &amp; Serveware'!$E$7:$E$26,$D57)</f>
        <v>0</v>
      </c>
      <c r="G57" s="32">
        <f>SUMIFS('Basement Store'!$D$7:$D$47,'Basement Store'!$B$7:$B$47,$B57,'Basement Store'!$E$7:$E$47,$D57)</f>
        <v>6</v>
      </c>
      <c r="H57" s="33">
        <f t="shared" si="1"/>
        <v>6</v>
      </c>
    </row>
    <row r="58" spans="1:8" x14ac:dyDescent="0.25">
      <c r="A58" s="14">
        <v>53</v>
      </c>
      <c r="B58" s="16" t="s">
        <v>166</v>
      </c>
      <c r="C58" s="16" t="s">
        <v>50</v>
      </c>
      <c r="D58" s="14" t="s">
        <v>46</v>
      </c>
      <c r="E58" s="30">
        <f>SUMIFS('Inventory Stock'!$D$7:$D$24,'Inventory Stock'!$B$7:$B$24,$B58,'Inventory Stock'!$E$7:$E$24,$D58)</f>
        <v>0</v>
      </c>
      <c r="F58" s="30">
        <f>SUMIFS('Crockery &amp; Serveware'!$D$7:$D$26,'Crockery &amp; Serveware'!$B$7:$B$26,$B58,'Crockery &amp; Serveware'!$E$7:$E$26,$D58)</f>
        <v>0</v>
      </c>
      <c r="G58" s="30">
        <f>SUMIFS('Basement Store'!$D$7:$D$47,'Basement Store'!$B$7:$B$47,$B58,'Basement Store'!$E$7:$E$47,$D58)</f>
        <v>1</v>
      </c>
      <c r="H58" s="31">
        <f t="shared" si="1"/>
        <v>1</v>
      </c>
    </row>
    <row r="59" spans="1:8" x14ac:dyDescent="0.25">
      <c r="A59" s="19">
        <v>54</v>
      </c>
      <c r="B59" s="21" t="s">
        <v>63</v>
      </c>
      <c r="C59" s="21" t="s">
        <v>56</v>
      </c>
      <c r="D59" s="19" t="s">
        <v>46</v>
      </c>
      <c r="E59" s="32">
        <f>SUMIFS('Inventory Stock'!$D$7:$D$24,'Inventory Stock'!$B$7:$B$24,$B59,'Inventory Stock'!$E$7:$E$24,$D59)</f>
        <v>103</v>
      </c>
      <c r="F59" s="32">
        <f>SUMIFS('Crockery &amp; Serveware'!$D$7:$D$26,'Crockery &amp; Serveware'!$B$7:$B$26,$B59,'Crockery &amp; Serveware'!$E$7:$E$26,$D59)</f>
        <v>0</v>
      </c>
      <c r="G59" s="32">
        <f>SUMIFS('Basement Store'!$D$7:$D$47,'Basement Store'!$B$7:$B$47,$B59,'Basement Store'!$E$7:$E$47,$D59)</f>
        <v>100</v>
      </c>
      <c r="H59" s="33">
        <f t="shared" si="1"/>
        <v>203</v>
      </c>
    </row>
    <row r="60" spans="1:8" x14ac:dyDescent="0.25">
      <c r="A60" s="14">
        <v>55</v>
      </c>
      <c r="B60" s="16" t="s">
        <v>65</v>
      </c>
      <c r="C60" s="16" t="s">
        <v>56</v>
      </c>
      <c r="D60" s="14" t="s">
        <v>46</v>
      </c>
      <c r="E60" s="30">
        <f>SUMIFS('Inventory Stock'!$D$7:$D$24,'Inventory Stock'!$B$7:$B$24,$B60,'Inventory Stock'!$E$7:$E$24,$D60)</f>
        <v>25</v>
      </c>
      <c r="F60" s="30">
        <f>SUMIFS('Crockery &amp; Serveware'!$D$7:$D$26,'Crockery &amp; Serveware'!$B$7:$B$26,$B60,'Crockery &amp; Serveware'!$E$7:$E$26,$D60)</f>
        <v>0</v>
      </c>
      <c r="G60" s="30">
        <f>SUMIFS('Basement Store'!$D$7:$D$47,'Basement Store'!$B$7:$B$47,$B60,'Basement Store'!$E$7:$E$47,$D60)</f>
        <v>0</v>
      </c>
      <c r="H60" s="31">
        <f t="shared" si="1"/>
        <v>25</v>
      </c>
    </row>
    <row r="61" spans="1:8" x14ac:dyDescent="0.25">
      <c r="A61" s="19">
        <v>56</v>
      </c>
      <c r="B61" s="21" t="s">
        <v>171</v>
      </c>
      <c r="C61" s="21" t="s">
        <v>56</v>
      </c>
      <c r="D61" s="19" t="s">
        <v>172</v>
      </c>
      <c r="E61" s="32">
        <f>SUMIFS('Inventory Stock'!$D$7:$D$24,'Inventory Stock'!$B$7:$B$24,$B61,'Inventory Stock'!$E$7:$E$24,$D61)</f>
        <v>0</v>
      </c>
      <c r="F61" s="32">
        <f>SUMIFS('Crockery &amp; Serveware'!$D$7:$D$26,'Crockery &amp; Serveware'!$B$7:$B$26,$B61,'Crockery &amp; Serveware'!$E$7:$E$26,$D61)</f>
        <v>0</v>
      </c>
      <c r="G61" s="32">
        <f>SUMIFS('Basement Store'!$D$7:$D$47,'Basement Store'!$B$7:$B$47,$B61,'Basement Store'!$E$7:$E$47,$D61)</f>
        <v>50</v>
      </c>
      <c r="H61" s="33">
        <f t="shared" si="1"/>
        <v>50</v>
      </c>
    </row>
    <row r="62" spans="1:8" x14ac:dyDescent="0.25">
      <c r="A62" s="14">
        <v>57</v>
      </c>
      <c r="B62" s="16" t="s">
        <v>58</v>
      </c>
      <c r="C62" s="16" t="s">
        <v>56</v>
      </c>
      <c r="D62" s="14" t="s">
        <v>46</v>
      </c>
      <c r="E62" s="30">
        <f>SUMIFS('Inventory Stock'!$D$7:$D$24,'Inventory Stock'!$B$7:$B$24,$B62,'Inventory Stock'!$E$7:$E$24,$D62)</f>
        <v>27</v>
      </c>
      <c r="F62" s="30">
        <f>SUMIFS('Crockery &amp; Serveware'!$D$7:$D$26,'Crockery &amp; Serveware'!$B$7:$B$26,$B62,'Crockery &amp; Serveware'!$E$7:$E$26,$D62)</f>
        <v>0</v>
      </c>
      <c r="G62" s="30">
        <f>SUMIFS('Basement Store'!$D$7:$D$47,'Basement Store'!$B$7:$B$47,$B62,'Basement Store'!$E$7:$E$47,$D62)</f>
        <v>0</v>
      </c>
      <c r="H62" s="31">
        <f t="shared" si="1"/>
        <v>27</v>
      </c>
    </row>
    <row r="63" spans="1:8" x14ac:dyDescent="0.25">
      <c r="A63" s="19">
        <v>58</v>
      </c>
      <c r="B63" s="21" t="s">
        <v>176</v>
      </c>
      <c r="C63" s="21" t="s">
        <v>56</v>
      </c>
      <c r="D63" s="19" t="s">
        <v>46</v>
      </c>
      <c r="E63" s="32">
        <f>SUMIFS('Inventory Stock'!$D$7:$D$24,'Inventory Stock'!$B$7:$B$24,$B63,'Inventory Stock'!$E$7:$E$24,$D63)</f>
        <v>0</v>
      </c>
      <c r="F63" s="32">
        <f>SUMIFS('Crockery &amp; Serveware'!$D$7:$D$26,'Crockery &amp; Serveware'!$B$7:$B$26,$B63,'Crockery &amp; Serveware'!$E$7:$E$26,$D63)</f>
        <v>0</v>
      </c>
      <c r="G63" s="32">
        <f>SUMIFS('Basement Store'!$D$7:$D$47,'Basement Store'!$B$7:$B$47,$B63,'Basement Store'!$E$7:$E$47,$D63)</f>
        <v>300</v>
      </c>
      <c r="H63" s="33">
        <f t="shared" si="1"/>
        <v>300</v>
      </c>
    </row>
    <row r="64" spans="1:8" x14ac:dyDescent="0.25">
      <c r="A64" s="14">
        <v>59</v>
      </c>
      <c r="B64" s="16" t="s">
        <v>55</v>
      </c>
      <c r="C64" s="16" t="s">
        <v>56</v>
      </c>
      <c r="D64" s="14" t="s">
        <v>46</v>
      </c>
      <c r="E64" s="30">
        <f>SUMIFS('Inventory Stock'!$D$7:$D$24,'Inventory Stock'!$B$7:$B$24,$B64,'Inventory Stock'!$E$7:$E$24,$D64)</f>
        <v>70</v>
      </c>
      <c r="F64" s="30">
        <f>SUMIFS('Crockery &amp; Serveware'!$D$7:$D$26,'Crockery &amp; Serveware'!$B$7:$B$26,$B64,'Crockery &amp; Serveware'!$E$7:$E$26,$D64)</f>
        <v>0</v>
      </c>
      <c r="G64" s="30">
        <f>SUMIFS('Basement Store'!$D$7:$D$47,'Basement Store'!$B$7:$B$47,$B64,'Basement Store'!$E$7:$E$47,$D64)</f>
        <v>0</v>
      </c>
      <c r="H64" s="31">
        <f t="shared" si="1"/>
        <v>70</v>
      </c>
    </row>
    <row r="65" spans="1:8" x14ac:dyDescent="0.25">
      <c r="A65" s="19">
        <v>60</v>
      </c>
      <c r="B65" s="21" t="s">
        <v>55</v>
      </c>
      <c r="C65" s="21" t="s">
        <v>56</v>
      </c>
      <c r="D65" s="19" t="s">
        <v>174</v>
      </c>
      <c r="E65" s="32">
        <f>SUMIFS('Inventory Stock'!$D$7:$D$24,'Inventory Stock'!$B$7:$B$24,$B65,'Inventory Stock'!$E$7:$E$24,$D65)</f>
        <v>0</v>
      </c>
      <c r="F65" s="32">
        <f>SUMIFS('Crockery &amp; Serveware'!$D$7:$D$26,'Crockery &amp; Serveware'!$B$7:$B$26,$B65,'Crockery &amp; Serveware'!$E$7:$E$26,$D65)</f>
        <v>0</v>
      </c>
      <c r="G65" s="32">
        <f>SUMIFS('Basement Store'!$D$7:$D$47,'Basement Store'!$B$7:$B$47,$B65,'Basement Store'!$E$7:$E$47,$D65)</f>
        <v>3</v>
      </c>
      <c r="H65" s="33">
        <f t="shared" si="1"/>
        <v>3</v>
      </c>
    </row>
    <row r="66" spans="1:8" x14ac:dyDescent="0.25">
      <c r="A66" s="14">
        <v>61</v>
      </c>
      <c r="B66" s="16" t="s">
        <v>60</v>
      </c>
      <c r="C66" s="16" t="s">
        <v>56</v>
      </c>
      <c r="D66" s="14" t="s">
        <v>46</v>
      </c>
      <c r="E66" s="30">
        <f>SUMIFS('Inventory Stock'!$D$7:$D$24,'Inventory Stock'!$B$7:$B$24,$B66,'Inventory Stock'!$E$7:$E$24,$D66)</f>
        <v>96</v>
      </c>
      <c r="F66" s="30">
        <f>SUMIFS('Crockery &amp; Serveware'!$D$7:$D$26,'Crockery &amp; Serveware'!$B$7:$B$26,$B66,'Crockery &amp; Serveware'!$E$7:$E$26,$D66)</f>
        <v>0</v>
      </c>
      <c r="G66" s="30">
        <f>SUMIFS('Basement Store'!$D$7:$D$47,'Basement Store'!$B$7:$B$47,$B66,'Basement Store'!$E$7:$E$47,$D66)</f>
        <v>0</v>
      </c>
      <c r="H66" s="31">
        <f t="shared" si="1"/>
        <v>96</v>
      </c>
    </row>
    <row r="67" spans="1:8" x14ac:dyDescent="0.25">
      <c r="A67" s="19">
        <v>62</v>
      </c>
      <c r="B67" s="21" t="s">
        <v>170</v>
      </c>
      <c r="C67" s="21" t="s">
        <v>56</v>
      </c>
      <c r="D67" s="19" t="s">
        <v>46</v>
      </c>
      <c r="E67" s="32">
        <f>SUMIFS('Inventory Stock'!$D$7:$D$24,'Inventory Stock'!$B$7:$B$24,$B67,'Inventory Stock'!$E$7:$E$24,$D67)</f>
        <v>0</v>
      </c>
      <c r="F67" s="32">
        <f>SUMIFS('Crockery &amp; Serveware'!$D$7:$D$26,'Crockery &amp; Serveware'!$B$7:$B$26,$B67,'Crockery &amp; Serveware'!$E$7:$E$26,$D67)</f>
        <v>0</v>
      </c>
      <c r="G67" s="32">
        <f>SUMIFS('Basement Store'!$D$7:$D$47,'Basement Store'!$B$7:$B$47,$B67,'Basement Store'!$E$7:$E$47,$D67)</f>
        <v>300</v>
      </c>
      <c r="H67" s="33">
        <f t="shared" si="1"/>
        <v>300</v>
      </c>
    </row>
    <row r="68" spans="1:8" x14ac:dyDescent="0.25">
      <c r="A68" s="14">
        <v>63</v>
      </c>
      <c r="B68" s="16" t="s">
        <v>131</v>
      </c>
      <c r="C68" s="16" t="s">
        <v>132</v>
      </c>
      <c r="D68" s="14" t="s">
        <v>46</v>
      </c>
      <c r="E68" s="30">
        <f>SUMIFS('Inventory Stock'!$D$7:$D$24,'Inventory Stock'!$B$7:$B$24,$B68,'Inventory Stock'!$E$7:$E$24,$D68)</f>
        <v>0</v>
      </c>
      <c r="F68" s="30">
        <f>SUMIFS('Crockery &amp; Serveware'!$D$7:$D$26,'Crockery &amp; Serveware'!$B$7:$B$26,$B68,'Crockery &amp; Serveware'!$E$7:$E$26,$D68)</f>
        <v>0</v>
      </c>
      <c r="G68" s="30">
        <f>SUMIFS('Basement Store'!$D$7:$D$47,'Basement Store'!$B$7:$B$47,$B68,'Basement Store'!$E$7:$E$47,$D68)</f>
        <v>1</v>
      </c>
      <c r="H68" s="31">
        <f t="shared" si="1"/>
        <v>1</v>
      </c>
    </row>
    <row r="69" spans="1:8" x14ac:dyDescent="0.25">
      <c r="A69" s="19">
        <v>64</v>
      </c>
      <c r="B69" s="21" t="s">
        <v>98</v>
      </c>
      <c r="C69" s="21" t="s">
        <v>94</v>
      </c>
      <c r="D69" s="19" t="s">
        <v>46</v>
      </c>
      <c r="E69" s="32">
        <f>SUMIFS('Inventory Stock'!$D$7:$D$24,'Inventory Stock'!$B$7:$B$24,$B69,'Inventory Stock'!$E$7:$E$24,$D69)</f>
        <v>0</v>
      </c>
      <c r="F69" s="32">
        <f>SUMIFS('Crockery &amp; Serveware'!$D$7:$D$26,'Crockery &amp; Serveware'!$B$7:$B$26,$B69,'Crockery &amp; Serveware'!$E$7:$E$26,$D69)</f>
        <v>2</v>
      </c>
      <c r="G69" s="32">
        <f>SUMIFS('Basement Store'!$D$7:$D$47,'Basement Store'!$B$7:$B$47,$B69,'Basement Store'!$E$7:$E$47,$D69)</f>
        <v>0</v>
      </c>
      <c r="H69" s="33">
        <f t="shared" si="1"/>
        <v>2</v>
      </c>
    </row>
    <row r="70" spans="1:8" x14ac:dyDescent="0.25">
      <c r="A70" s="14">
        <v>65</v>
      </c>
      <c r="B70" s="16" t="s">
        <v>96</v>
      </c>
      <c r="C70" s="16" t="s">
        <v>94</v>
      </c>
      <c r="D70" s="14" t="s">
        <v>46</v>
      </c>
      <c r="E70" s="30">
        <f>SUMIFS('Inventory Stock'!$D$7:$D$24,'Inventory Stock'!$B$7:$B$24,$B70,'Inventory Stock'!$E$7:$E$24,$D70)</f>
        <v>0</v>
      </c>
      <c r="F70" s="30">
        <f>SUMIFS('Crockery &amp; Serveware'!$D$7:$D$26,'Crockery &amp; Serveware'!$B$7:$B$26,$B70,'Crockery &amp; Serveware'!$E$7:$E$26,$D70)</f>
        <v>1</v>
      </c>
      <c r="G70" s="30">
        <f>SUMIFS('Basement Store'!$D$7:$D$47,'Basement Store'!$B$7:$B$47,$B70,'Basement Store'!$E$7:$E$47,$D70)</f>
        <v>0</v>
      </c>
      <c r="H70" s="31">
        <f t="shared" ref="H70:H101" si="2">SUM(E70:G70)</f>
        <v>1</v>
      </c>
    </row>
    <row r="71" spans="1:8" x14ac:dyDescent="0.25">
      <c r="A71" s="19">
        <v>66</v>
      </c>
      <c r="B71" s="21" t="s">
        <v>124</v>
      </c>
      <c r="C71" s="21" t="s">
        <v>94</v>
      </c>
      <c r="D71" s="19" t="s">
        <v>46</v>
      </c>
      <c r="E71" s="32">
        <f>SUMIFS('Inventory Stock'!$D$7:$D$24,'Inventory Stock'!$B$7:$B$24,$B71,'Inventory Stock'!$E$7:$E$24,$D71)</f>
        <v>0</v>
      </c>
      <c r="F71" s="32">
        <f>SUMIFS('Crockery &amp; Serveware'!$D$7:$D$26,'Crockery &amp; Serveware'!$B$7:$B$26,$B71,'Crockery &amp; Serveware'!$E$7:$E$26,$D71)</f>
        <v>2</v>
      </c>
      <c r="G71" s="32">
        <f>SUMIFS('Basement Store'!$D$7:$D$47,'Basement Store'!$B$7:$B$47,$B71,'Basement Store'!$E$7:$E$47,$D71)</f>
        <v>0</v>
      </c>
      <c r="H71" s="33">
        <f t="shared" si="2"/>
        <v>2</v>
      </c>
    </row>
    <row r="72" spans="1:8" x14ac:dyDescent="0.25">
      <c r="A72" s="14">
        <v>67</v>
      </c>
      <c r="B72" s="16" t="s">
        <v>126</v>
      </c>
      <c r="C72" s="16" t="s">
        <v>94</v>
      </c>
      <c r="D72" s="14" t="s">
        <v>46</v>
      </c>
      <c r="E72" s="30">
        <f>SUMIFS('Inventory Stock'!$D$7:$D$24,'Inventory Stock'!$B$7:$B$24,$B72,'Inventory Stock'!$E$7:$E$24,$D72)</f>
        <v>0</v>
      </c>
      <c r="F72" s="30">
        <f>SUMIFS('Crockery &amp; Serveware'!$D$7:$D$26,'Crockery &amp; Serveware'!$B$7:$B$26,$B72,'Crockery &amp; Serveware'!$E$7:$E$26,$D72)</f>
        <v>4</v>
      </c>
      <c r="G72" s="30">
        <f>SUMIFS('Basement Store'!$D$7:$D$47,'Basement Store'!$B$7:$B$47,$B72,'Basement Store'!$E$7:$E$47,$D72)</f>
        <v>0</v>
      </c>
      <c r="H72" s="31">
        <f t="shared" si="2"/>
        <v>4</v>
      </c>
    </row>
    <row r="73" spans="1:8" x14ac:dyDescent="0.25">
      <c r="A73" s="19">
        <v>68</v>
      </c>
      <c r="B73" s="21" t="s">
        <v>93</v>
      </c>
      <c r="C73" s="21" t="s">
        <v>94</v>
      </c>
      <c r="D73" s="19" t="s">
        <v>46</v>
      </c>
      <c r="E73" s="32">
        <f>SUMIFS('Inventory Stock'!$D$7:$D$24,'Inventory Stock'!$B$7:$B$24,$B73,'Inventory Stock'!$E$7:$E$24,$D73)</f>
        <v>0</v>
      </c>
      <c r="F73" s="32">
        <f>SUMIFS('Crockery &amp; Serveware'!$D$7:$D$26,'Crockery &amp; Serveware'!$B$7:$B$26,$B73,'Crockery &amp; Serveware'!$E$7:$E$26,$D73)</f>
        <v>7</v>
      </c>
      <c r="G73" s="32">
        <f>SUMIFS('Basement Store'!$D$7:$D$47,'Basement Store'!$B$7:$B$47,$B73,'Basement Store'!$E$7:$E$47,$D73)</f>
        <v>0</v>
      </c>
      <c r="H73" s="33">
        <f t="shared" si="2"/>
        <v>7</v>
      </c>
    </row>
    <row r="74" spans="1:8" x14ac:dyDescent="0.25">
      <c r="A74" s="14">
        <v>69</v>
      </c>
      <c r="B74" s="16" t="s">
        <v>122</v>
      </c>
      <c r="C74" s="16" t="s">
        <v>94</v>
      </c>
      <c r="D74" s="14" t="s">
        <v>46</v>
      </c>
      <c r="E74" s="30">
        <f>SUMIFS('Inventory Stock'!$D$7:$D$24,'Inventory Stock'!$B$7:$B$24,$B74,'Inventory Stock'!$E$7:$E$24,$D74)</f>
        <v>0</v>
      </c>
      <c r="F74" s="30">
        <f>SUMIFS('Crockery &amp; Serveware'!$D$7:$D$26,'Crockery &amp; Serveware'!$B$7:$B$26,$B74,'Crockery &amp; Serveware'!$E$7:$E$26,$D74)</f>
        <v>4</v>
      </c>
      <c r="G74" s="30">
        <f>SUMIFS('Basement Store'!$D$7:$D$47,'Basement Store'!$B$7:$B$47,$B74,'Basement Store'!$E$7:$E$47,$D74)</f>
        <v>0</v>
      </c>
      <c r="H74" s="31">
        <f t="shared" si="2"/>
        <v>4</v>
      </c>
    </row>
    <row r="75" spans="1:8" x14ac:dyDescent="0.25">
      <c r="A75" s="19">
        <v>70</v>
      </c>
      <c r="B75" s="21" t="s">
        <v>184</v>
      </c>
      <c r="C75" s="21" t="s">
        <v>185</v>
      </c>
      <c r="D75" s="19" t="s">
        <v>186</v>
      </c>
      <c r="E75" s="32">
        <f>SUMIFS('Inventory Stock'!$D$7:$D$24,'Inventory Stock'!$B$7:$B$24,$B75,'Inventory Stock'!$E$7:$E$24,$D75)</f>
        <v>0</v>
      </c>
      <c r="F75" s="32">
        <f>SUMIFS('Crockery &amp; Serveware'!$D$7:$D$26,'Crockery &amp; Serveware'!$B$7:$B$26,$B75,'Crockery &amp; Serveware'!$E$7:$E$26,$D75)</f>
        <v>0</v>
      </c>
      <c r="G75" s="32">
        <f>SUMIFS('Basement Store'!$D$7:$D$47,'Basement Store'!$B$7:$B$47,$B75,'Basement Store'!$E$7:$E$47,$D75)</f>
        <v>5</v>
      </c>
      <c r="H75" s="33">
        <f t="shared" si="2"/>
        <v>5</v>
      </c>
    </row>
  </sheetData>
  <autoFilter ref="A5:H75" xr:uid="{00000000-0009-0000-0000-000004000000}"/>
  <mergeCells count="2">
    <mergeCell ref="A2:H2"/>
    <mergeCell ref="A1:H1"/>
  </mergeCells>
  <pageMargins left="0.75" right="0.75" top="1" bottom="1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Summary</vt:lpstr>
      <vt:lpstr>Inventory Stock</vt:lpstr>
      <vt:lpstr>Crockery &amp; Serveware</vt:lpstr>
      <vt:lpstr>Basement Store</vt:lpstr>
      <vt:lpstr>Consolidated</vt:lpstr>
      <vt:lpstr>'Basement Store'!Print_Titles</vt:lpstr>
      <vt:lpstr>Consolidated!Print_Titles</vt:lpstr>
      <vt:lpstr>'Crockery &amp; Serveware'!Print_Titles</vt:lpstr>
      <vt:lpstr>'Inventory Stock'!Print_Titles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Enquiries manager</cp:lastModifiedBy>
  <dcterms:created xsi:type="dcterms:W3CDTF">2026-09-29T06:55:10Z</dcterms:created>
  <dcterms:modified xsi:type="dcterms:W3CDTF">2026-09-29T06:55:17Z</dcterms:modified>
</cp:coreProperties>
</file>